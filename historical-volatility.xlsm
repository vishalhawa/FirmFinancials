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00000000-0000-0000-0000-000000000000}"/>
  <workbookPr codeName="ThisWorkbook" defaultThemeVersion="124226"/>
  <bookViews>
    <workbookView xWindow="120" yWindow="105" windowWidth="15180" windowHeight="9345" activeTab="1"/>
  </bookViews>
  <sheets>
    <sheet name="ReadMe" sheetId="5" r:id="rId1"/>
    <sheet name="Volatility" sheetId="4" r:id="rId2"/>
  </sheets>
  <definedNames>
    <definedName name="Days">#REF!</definedName>
  </definedNames>
  <calcPr calcId="145621"/>
</workbook>
</file>

<file path=xl/calcChain.xml><?xml version="1.0" encoding="utf-8"?>
<calcChain xmlns="http://schemas.openxmlformats.org/spreadsheetml/2006/main">
  <c r="D79" i="4" l="1"/>
  <c r="C12" i="4"/>
  <c r="C13" i="4"/>
  <c r="C14" i="4"/>
  <c r="C15" i="4"/>
  <c r="C16" i="4"/>
  <c r="C17" i="4"/>
  <c r="C18" i="4"/>
  <c r="C19" i="4"/>
  <c r="C20" i="4"/>
  <c r="D69" i="4" s="1"/>
  <c r="C21" i="4"/>
  <c r="C22" i="4"/>
  <c r="D71" i="4" s="1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D87" i="4" s="1"/>
  <c r="C39" i="4"/>
  <c r="C40" i="4"/>
  <c r="C41" i="4"/>
  <c r="D90" i="4" s="1"/>
  <c r="C42" i="4"/>
  <c r="C43" i="4"/>
  <c r="C44" i="4"/>
  <c r="C45" i="4"/>
  <c r="C46" i="4"/>
  <c r="D95" i="4" s="1"/>
  <c r="C47" i="4"/>
  <c r="C48" i="4"/>
  <c r="C49" i="4"/>
  <c r="C50" i="4"/>
  <c r="C51" i="4"/>
  <c r="C52" i="4"/>
  <c r="D101" i="4" s="1"/>
  <c r="C53" i="4"/>
  <c r="C54" i="4"/>
  <c r="D103" i="4" s="1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D209" i="4" s="1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D250" i="4" s="1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D290" i="4" s="1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D404" i="4" s="1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D489" i="4" s="1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D521" i="4" s="1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D553" i="4" s="1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D585" i="4" s="1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D617" i="4" s="1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D649" i="4" s="1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D681" i="4" s="1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D713" i="4" s="1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D745" i="4" s="1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D777" i="4" s="1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D809" i="4" s="1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D841" i="4" s="1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D873" i="4" s="1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B5" i="4"/>
  <c r="D885" i="4" l="1"/>
  <c r="D869" i="4"/>
  <c r="D845" i="4"/>
  <c r="D833" i="4"/>
  <c r="D817" i="4"/>
  <c r="D793" i="4"/>
  <c r="D769" i="4"/>
  <c r="D753" i="4"/>
  <c r="D741" i="4"/>
  <c r="D721" i="4"/>
  <c r="D701" i="4"/>
  <c r="D677" i="4"/>
  <c r="D665" i="4"/>
  <c r="D645" i="4"/>
  <c r="D629" i="4"/>
  <c r="D613" i="4"/>
  <c r="D597" i="4"/>
  <c r="D581" i="4"/>
  <c r="D569" i="4"/>
  <c r="D561" i="4"/>
  <c r="D549" i="4"/>
  <c r="D541" i="4"/>
  <c r="D533" i="4"/>
  <c r="D525" i="4"/>
  <c r="D509" i="4"/>
  <c r="D501" i="4"/>
  <c r="D493" i="4"/>
  <c r="D477" i="4"/>
  <c r="D473" i="4"/>
  <c r="D465" i="4"/>
  <c r="D457" i="4"/>
  <c r="D445" i="4"/>
  <c r="D441" i="4"/>
  <c r="D433" i="4"/>
  <c r="D421" i="4"/>
  <c r="D417" i="4"/>
  <c r="D409" i="4"/>
  <c r="D397" i="4"/>
  <c r="D389" i="4"/>
  <c r="D385" i="4"/>
  <c r="D373" i="4"/>
  <c r="D369" i="4"/>
  <c r="D361" i="4"/>
  <c r="D349" i="4"/>
  <c r="D345" i="4"/>
  <c r="D333" i="4"/>
  <c r="D325" i="4"/>
  <c r="D899" i="4"/>
  <c r="D895" i="4"/>
  <c r="D891" i="4"/>
  <c r="D887" i="4"/>
  <c r="D883" i="4"/>
  <c r="D879" i="4"/>
  <c r="D875" i="4"/>
  <c r="D871" i="4"/>
  <c r="D867" i="4"/>
  <c r="D863" i="4"/>
  <c r="D859" i="4"/>
  <c r="D855" i="4"/>
  <c r="D851" i="4"/>
  <c r="D847" i="4"/>
  <c r="D843" i="4"/>
  <c r="D839" i="4"/>
  <c r="D835" i="4"/>
  <c r="D831" i="4"/>
  <c r="D827" i="4"/>
  <c r="D823" i="4"/>
  <c r="D819" i="4"/>
  <c r="D815" i="4"/>
  <c r="D811" i="4"/>
  <c r="D807" i="4"/>
  <c r="D803" i="4"/>
  <c r="D799" i="4"/>
  <c r="D795" i="4"/>
  <c r="D791" i="4"/>
  <c r="D787" i="4"/>
  <c r="D783" i="4"/>
  <c r="D779" i="4"/>
  <c r="D775" i="4"/>
  <c r="D771" i="4"/>
  <c r="D767" i="4"/>
  <c r="D763" i="4"/>
  <c r="D759" i="4"/>
  <c r="D755" i="4"/>
  <c r="D751" i="4"/>
  <c r="D747" i="4"/>
  <c r="D743" i="4"/>
  <c r="D739" i="4"/>
  <c r="D735" i="4"/>
  <c r="D731" i="4"/>
  <c r="D727" i="4"/>
  <c r="D723" i="4"/>
  <c r="D719" i="4"/>
  <c r="D715" i="4"/>
  <c r="D711" i="4"/>
  <c r="D707" i="4"/>
  <c r="D703" i="4"/>
  <c r="D699" i="4"/>
  <c r="D695" i="4"/>
  <c r="D691" i="4"/>
  <c r="D687" i="4"/>
  <c r="D683" i="4"/>
  <c r="D679" i="4"/>
  <c r="D675" i="4"/>
  <c r="D671" i="4"/>
  <c r="D667" i="4"/>
  <c r="D663" i="4"/>
  <c r="D659" i="4"/>
  <c r="D655" i="4"/>
  <c r="D651" i="4"/>
  <c r="D647" i="4"/>
  <c r="D643" i="4"/>
  <c r="D639" i="4"/>
  <c r="D635" i="4"/>
  <c r="D631" i="4"/>
  <c r="D627" i="4"/>
  <c r="D623" i="4"/>
  <c r="D619" i="4"/>
  <c r="D615" i="4"/>
  <c r="D611" i="4"/>
  <c r="D607" i="4"/>
  <c r="D603" i="4"/>
  <c r="D599" i="4"/>
  <c r="D595" i="4"/>
  <c r="D591" i="4"/>
  <c r="D587" i="4"/>
  <c r="D583" i="4"/>
  <c r="D579" i="4"/>
  <c r="D575" i="4"/>
  <c r="D571" i="4"/>
  <c r="D567" i="4"/>
  <c r="D563" i="4"/>
  <c r="D559" i="4"/>
  <c r="D555" i="4"/>
  <c r="D551" i="4"/>
  <c r="D547" i="4"/>
  <c r="D543" i="4"/>
  <c r="D539" i="4"/>
  <c r="D535" i="4"/>
  <c r="D531" i="4"/>
  <c r="D527" i="4"/>
  <c r="D523" i="4"/>
  <c r="D519" i="4"/>
  <c r="D515" i="4"/>
  <c r="D511" i="4"/>
  <c r="D507" i="4"/>
  <c r="D503" i="4"/>
  <c r="D499" i="4"/>
  <c r="D495" i="4"/>
  <c r="D491" i="4"/>
  <c r="D487" i="4"/>
  <c r="D483" i="4"/>
  <c r="D479" i="4"/>
  <c r="D475" i="4"/>
  <c r="D471" i="4"/>
  <c r="D467" i="4"/>
  <c r="D463" i="4"/>
  <c r="D459" i="4"/>
  <c r="D375" i="4"/>
  <c r="D347" i="4"/>
  <c r="D319" i="4"/>
  <c r="D207" i="4"/>
  <c r="D897" i="4"/>
  <c r="D893" i="4"/>
  <c r="D889" i="4"/>
  <c r="D877" i="4"/>
  <c r="D861" i="4"/>
  <c r="D857" i="4"/>
  <c r="D849" i="4"/>
  <c r="D837" i="4"/>
  <c r="D825" i="4"/>
  <c r="D821" i="4"/>
  <c r="D813" i="4"/>
  <c r="D801" i="4"/>
  <c r="D797" i="4"/>
  <c r="D785" i="4"/>
  <c r="D781" i="4"/>
  <c r="D765" i="4"/>
  <c r="D761" i="4"/>
  <c r="D749" i="4"/>
  <c r="D733" i="4"/>
  <c r="D729" i="4"/>
  <c r="D725" i="4"/>
  <c r="D709" i="4"/>
  <c r="D697" i="4"/>
  <c r="D693" i="4"/>
  <c r="D685" i="4"/>
  <c r="D673" i="4"/>
  <c r="D669" i="4"/>
  <c r="D657" i="4"/>
  <c r="D653" i="4"/>
  <c r="D637" i="4"/>
  <c r="D633" i="4"/>
  <c r="D621" i="4"/>
  <c r="D609" i="4"/>
  <c r="D601" i="4"/>
  <c r="D593" i="4"/>
  <c r="D565" i="4"/>
  <c r="D898" i="4"/>
  <c r="D894" i="4"/>
  <c r="D890" i="4"/>
  <c r="D886" i="4"/>
  <c r="D882" i="4"/>
  <c r="D878" i="4"/>
  <c r="D874" i="4"/>
  <c r="D870" i="4"/>
  <c r="D866" i="4"/>
  <c r="D862" i="4"/>
  <c r="D858" i="4"/>
  <c r="D854" i="4"/>
  <c r="D850" i="4"/>
  <c r="D846" i="4"/>
  <c r="D842" i="4"/>
  <c r="D838" i="4"/>
  <c r="D834" i="4"/>
  <c r="D830" i="4"/>
  <c r="D826" i="4"/>
  <c r="D822" i="4"/>
  <c r="D818" i="4"/>
  <c r="D814" i="4"/>
  <c r="D810" i="4"/>
  <c r="D806" i="4"/>
  <c r="D802" i="4"/>
  <c r="D798" i="4"/>
  <c r="D794" i="4"/>
  <c r="D790" i="4"/>
  <c r="D786" i="4"/>
  <c r="D782" i="4"/>
  <c r="D778" i="4"/>
  <c r="D446" i="4"/>
  <c r="D881" i="4"/>
  <c r="D865" i="4"/>
  <c r="D853" i="4"/>
  <c r="D829" i="4"/>
  <c r="D805" i="4"/>
  <c r="D789" i="4"/>
  <c r="D773" i="4"/>
  <c r="D757" i="4"/>
  <c r="D737" i="4"/>
  <c r="D717" i="4"/>
  <c r="D705" i="4"/>
  <c r="D689" i="4"/>
  <c r="D661" i="4"/>
  <c r="D641" i="4"/>
  <c r="D625" i="4"/>
  <c r="D605" i="4"/>
  <c r="D589" i="4"/>
  <c r="D577" i="4"/>
  <c r="D573" i="4"/>
  <c r="D557" i="4"/>
  <c r="D545" i="4"/>
  <c r="D537" i="4"/>
  <c r="D529" i="4"/>
  <c r="D517" i="4"/>
  <c r="D513" i="4"/>
  <c r="D505" i="4"/>
  <c r="D497" i="4"/>
  <c r="D485" i="4"/>
  <c r="D481" i="4"/>
  <c r="D469" i="4"/>
  <c r="D461" i="4"/>
  <c r="D453" i="4"/>
  <c r="D449" i="4"/>
  <c r="D437" i="4"/>
  <c r="D429" i="4"/>
  <c r="D425" i="4"/>
  <c r="D413" i="4"/>
  <c r="D405" i="4"/>
  <c r="D401" i="4"/>
  <c r="D393" i="4"/>
  <c r="D381" i="4"/>
  <c r="D377" i="4"/>
  <c r="D365" i="4"/>
  <c r="D357" i="4"/>
  <c r="D353" i="4"/>
  <c r="D341" i="4"/>
  <c r="D337" i="4"/>
  <c r="D329" i="4"/>
  <c r="D321" i="4"/>
  <c r="D317" i="4"/>
  <c r="D313" i="4"/>
  <c r="D309" i="4"/>
  <c r="D305" i="4"/>
  <c r="D301" i="4"/>
  <c r="D297" i="4"/>
  <c r="D293" i="4"/>
  <c r="D289" i="4"/>
  <c r="D285" i="4"/>
  <c r="D281" i="4"/>
  <c r="D277" i="4"/>
  <c r="D273" i="4"/>
  <c r="D269" i="4"/>
  <c r="D265" i="4"/>
  <c r="D261" i="4"/>
  <c r="D257" i="4"/>
  <c r="D253" i="4"/>
  <c r="D249" i="4"/>
  <c r="D245" i="4"/>
  <c r="D241" i="4"/>
  <c r="D237" i="4"/>
  <c r="D233" i="4"/>
  <c r="D229" i="4"/>
  <c r="D225" i="4"/>
  <c r="D221" i="4"/>
  <c r="D217" i="4"/>
  <c r="D213" i="4"/>
  <c r="D205" i="4"/>
  <c r="D201" i="4"/>
  <c r="D197" i="4"/>
  <c r="D193" i="4"/>
  <c r="D189" i="4"/>
  <c r="D185" i="4"/>
  <c r="D181" i="4"/>
  <c r="D177" i="4"/>
  <c r="D173" i="4"/>
  <c r="D169" i="4"/>
  <c r="D165" i="4"/>
  <c r="D161" i="4"/>
  <c r="D133" i="4"/>
  <c r="D122" i="4"/>
  <c r="D900" i="4"/>
  <c r="B6" i="4" s="1"/>
  <c r="D896" i="4"/>
  <c r="D892" i="4"/>
  <c r="D888" i="4"/>
  <c r="D884" i="4"/>
  <c r="D880" i="4"/>
  <c r="D876" i="4"/>
  <c r="D872" i="4"/>
  <c r="D868" i="4"/>
  <c r="D864" i="4"/>
  <c r="D860" i="4"/>
  <c r="D856" i="4"/>
  <c r="D852" i="4"/>
  <c r="D848" i="4"/>
  <c r="D844" i="4"/>
  <c r="D840" i="4"/>
  <c r="D836" i="4"/>
  <c r="D832" i="4"/>
  <c r="D828" i="4"/>
  <c r="D824" i="4"/>
  <c r="D820" i="4"/>
  <c r="D816" i="4"/>
  <c r="D812" i="4"/>
  <c r="D808" i="4"/>
  <c r="D804" i="4"/>
  <c r="D800" i="4"/>
  <c r="D796" i="4"/>
  <c r="D792" i="4"/>
  <c r="D788" i="4"/>
  <c r="D784" i="4"/>
  <c r="D780" i="4"/>
  <c r="D776" i="4"/>
  <c r="D772" i="4"/>
  <c r="D768" i="4"/>
  <c r="D764" i="4"/>
  <c r="D760" i="4"/>
  <c r="D756" i="4"/>
  <c r="D752" i="4"/>
  <c r="D748" i="4"/>
  <c r="D744" i="4"/>
  <c r="D740" i="4"/>
  <c r="D736" i="4"/>
  <c r="D732" i="4"/>
  <c r="D728" i="4"/>
  <c r="D724" i="4"/>
  <c r="D720" i="4"/>
  <c r="D716" i="4"/>
  <c r="D712" i="4"/>
  <c r="D708" i="4"/>
  <c r="D704" i="4"/>
  <c r="D700" i="4"/>
  <c r="D696" i="4"/>
  <c r="D692" i="4"/>
  <c r="D688" i="4"/>
  <c r="D684" i="4"/>
  <c r="D680" i="4"/>
  <c r="D676" i="4"/>
  <c r="D672" i="4"/>
  <c r="D668" i="4"/>
  <c r="D664" i="4"/>
  <c r="D660" i="4"/>
  <c r="D656" i="4"/>
  <c r="D652" i="4"/>
  <c r="D648" i="4"/>
  <c r="D644" i="4"/>
  <c r="D640" i="4"/>
  <c r="D636" i="4"/>
  <c r="D632" i="4"/>
  <c r="D628" i="4"/>
  <c r="D624" i="4"/>
  <c r="D468" i="4"/>
  <c r="D455" i="4"/>
  <c r="D451" i="4"/>
  <c r="D447" i="4"/>
  <c r="D443" i="4"/>
  <c r="D439" i="4"/>
  <c r="D435" i="4"/>
  <c r="D431" i="4"/>
  <c r="D427" i="4"/>
  <c r="D423" i="4"/>
  <c r="D419" i="4"/>
  <c r="D415" i="4"/>
  <c r="D411" i="4"/>
  <c r="D407" i="4"/>
  <c r="D403" i="4"/>
  <c r="D399" i="4"/>
  <c r="D395" i="4"/>
  <c r="D391" i="4"/>
  <c r="D387" i="4"/>
  <c r="D383" i="4"/>
  <c r="D379" i="4"/>
  <c r="D371" i="4"/>
  <c r="D367" i="4"/>
  <c r="D363" i="4"/>
  <c r="D359" i="4"/>
  <c r="D355" i="4"/>
  <c r="D351" i="4"/>
  <c r="D343" i="4"/>
  <c r="D339" i="4"/>
  <c r="D335" i="4"/>
  <c r="D331" i="4"/>
  <c r="D327" i="4"/>
  <c r="D323" i="4"/>
  <c r="D315" i="4"/>
  <c r="D311" i="4"/>
  <c r="D307" i="4"/>
  <c r="D303" i="4"/>
  <c r="D299" i="4"/>
  <c r="D295" i="4"/>
  <c r="D291" i="4"/>
  <c r="D287" i="4"/>
  <c r="D283" i="4"/>
  <c r="D279" i="4"/>
  <c r="D275" i="4"/>
  <c r="D271" i="4"/>
  <c r="D267" i="4"/>
  <c r="D263" i="4"/>
  <c r="D259" i="4"/>
  <c r="D255" i="4"/>
  <c r="D251" i="4"/>
  <c r="D247" i="4"/>
  <c r="D243" i="4"/>
  <c r="D239" i="4"/>
  <c r="D235" i="4"/>
  <c r="D231" i="4"/>
  <c r="D227" i="4"/>
  <c r="D223" i="4"/>
  <c r="D219" i="4"/>
  <c r="D215" i="4"/>
  <c r="D211" i="4"/>
  <c r="D203" i="4"/>
  <c r="D199" i="4"/>
  <c r="D195" i="4"/>
  <c r="D191" i="4"/>
  <c r="D187" i="4"/>
  <c r="D183" i="4"/>
  <c r="D179" i="4"/>
  <c r="D175" i="4"/>
  <c r="D171" i="4"/>
  <c r="D167" i="4"/>
  <c r="D159" i="4"/>
  <c r="D151" i="4"/>
  <c r="D135" i="4"/>
  <c r="D127" i="4"/>
  <c r="D119" i="4"/>
  <c r="D774" i="4"/>
  <c r="D770" i="4"/>
  <c r="D766" i="4"/>
  <c r="D762" i="4"/>
  <c r="D758" i="4"/>
  <c r="D754" i="4"/>
  <c r="D750" i="4"/>
  <c r="D746" i="4"/>
  <c r="D742" i="4"/>
  <c r="D738" i="4"/>
  <c r="D734" i="4"/>
  <c r="D730" i="4"/>
  <c r="D726" i="4"/>
  <c r="D722" i="4"/>
  <c r="D718" i="4"/>
  <c r="D714" i="4"/>
  <c r="D710" i="4"/>
  <c r="D706" i="4"/>
  <c r="D702" i="4"/>
  <c r="D698" i="4"/>
  <c r="D694" i="4"/>
  <c r="D690" i="4"/>
  <c r="D686" i="4"/>
  <c r="D682" i="4"/>
  <c r="D678" i="4"/>
  <c r="D674" i="4"/>
  <c r="D670" i="4"/>
  <c r="D666" i="4"/>
  <c r="D662" i="4"/>
  <c r="D658" i="4"/>
  <c r="D654" i="4"/>
  <c r="D650" i="4"/>
  <c r="D646" i="4"/>
  <c r="D642" i="4"/>
  <c r="D638" i="4"/>
  <c r="D634" i="4"/>
  <c r="D630" i="4"/>
  <c r="D626" i="4"/>
  <c r="D622" i="4"/>
  <c r="D618" i="4"/>
  <c r="D614" i="4"/>
  <c r="D610" i="4"/>
  <c r="D606" i="4"/>
  <c r="D602" i="4"/>
  <c r="D598" i="4"/>
  <c r="D594" i="4"/>
  <c r="D590" i="4"/>
  <c r="D586" i="4"/>
  <c r="D582" i="4"/>
  <c r="D578" i="4"/>
  <c r="D574" i="4"/>
  <c r="D570" i="4"/>
  <c r="D566" i="4"/>
  <c r="D562" i="4"/>
  <c r="D558" i="4"/>
  <c r="D554" i="4"/>
  <c r="D550" i="4"/>
  <c r="D546" i="4"/>
  <c r="D542" i="4"/>
  <c r="D538" i="4"/>
  <c r="D534" i="4"/>
  <c r="D530" i="4"/>
  <c r="D526" i="4"/>
  <c r="D522" i="4"/>
  <c r="D518" i="4"/>
  <c r="D514" i="4"/>
  <c r="D510" i="4"/>
  <c r="D506" i="4"/>
  <c r="D502" i="4"/>
  <c r="D498" i="4"/>
  <c r="D494" i="4"/>
  <c r="D490" i="4"/>
  <c r="D486" i="4"/>
  <c r="D482" i="4"/>
  <c r="D478" i="4"/>
  <c r="D474" i="4"/>
  <c r="D470" i="4"/>
  <c r="D466" i="4"/>
  <c r="D462" i="4"/>
  <c r="D458" i="4"/>
  <c r="D454" i="4"/>
  <c r="D450" i="4"/>
  <c r="D442" i="4"/>
  <c r="D438" i="4"/>
  <c r="D434" i="4"/>
  <c r="D430" i="4"/>
  <c r="D426" i="4"/>
  <c r="D422" i="4"/>
  <c r="D418" i="4"/>
  <c r="D414" i="4"/>
  <c r="D410" i="4"/>
  <c r="D406" i="4"/>
  <c r="D402" i="4"/>
  <c r="D398" i="4"/>
  <c r="D394" i="4"/>
  <c r="D390" i="4"/>
  <c r="D386" i="4"/>
  <c r="D382" i="4"/>
  <c r="D378" i="4"/>
  <c r="D374" i="4"/>
  <c r="D370" i="4"/>
  <c r="D366" i="4"/>
  <c r="D362" i="4"/>
  <c r="D358" i="4"/>
  <c r="D354" i="4"/>
  <c r="D350" i="4"/>
  <c r="D346" i="4"/>
  <c r="D342" i="4"/>
  <c r="D338" i="4"/>
  <c r="D334" i="4"/>
  <c r="D330" i="4"/>
  <c r="D326" i="4"/>
  <c r="D322" i="4"/>
  <c r="D318" i="4"/>
  <c r="D314" i="4"/>
  <c r="D310" i="4"/>
  <c r="D306" i="4"/>
  <c r="D302" i="4"/>
  <c r="D298" i="4"/>
  <c r="D294" i="4"/>
  <c r="D286" i="4"/>
  <c r="D282" i="4"/>
  <c r="D278" i="4"/>
  <c r="D274" i="4"/>
  <c r="D270" i="4"/>
  <c r="D266" i="4"/>
  <c r="D262" i="4"/>
  <c r="D258" i="4"/>
  <c r="D254" i="4"/>
  <c r="D246" i="4"/>
  <c r="D242" i="4"/>
  <c r="D238" i="4"/>
  <c r="D234" i="4"/>
  <c r="D230" i="4"/>
  <c r="D226" i="4"/>
  <c r="D222" i="4"/>
  <c r="D218" i="4"/>
  <c r="D214" i="4"/>
  <c r="D210" i="4"/>
  <c r="D206" i="4"/>
  <c r="D202" i="4"/>
  <c r="D198" i="4"/>
  <c r="D194" i="4"/>
  <c r="D190" i="4"/>
  <c r="D186" i="4"/>
  <c r="D182" i="4"/>
  <c r="D178" i="4"/>
  <c r="D174" i="4"/>
  <c r="D170" i="4"/>
  <c r="D166" i="4"/>
  <c r="D162" i="4"/>
  <c r="D158" i="4"/>
  <c r="D154" i="4"/>
  <c r="D150" i="4"/>
  <c r="D620" i="4"/>
  <c r="D616" i="4"/>
  <c r="D612" i="4"/>
  <c r="D608" i="4"/>
  <c r="D604" i="4"/>
  <c r="D600" i="4"/>
  <c r="D596" i="4"/>
  <c r="D592" i="4"/>
  <c r="D588" i="4"/>
  <c r="D584" i="4"/>
  <c r="D580" i="4"/>
  <c r="D576" i="4"/>
  <c r="D572" i="4"/>
  <c r="D568" i="4"/>
  <c r="D564" i="4"/>
  <c r="D560" i="4"/>
  <c r="D556" i="4"/>
  <c r="D552" i="4"/>
  <c r="D548" i="4"/>
  <c r="D544" i="4"/>
  <c r="D540" i="4"/>
  <c r="D536" i="4"/>
  <c r="D532" i="4"/>
  <c r="D528" i="4"/>
  <c r="D524" i="4"/>
  <c r="D520" i="4"/>
  <c r="D516" i="4"/>
  <c r="D512" i="4"/>
  <c r="D508" i="4"/>
  <c r="D504" i="4"/>
  <c r="D500" i="4"/>
  <c r="D496" i="4"/>
  <c r="D492" i="4"/>
  <c r="D488" i="4"/>
  <c r="D484" i="4"/>
  <c r="D480" i="4"/>
  <c r="D476" i="4"/>
  <c r="D472" i="4"/>
  <c r="D464" i="4"/>
  <c r="D460" i="4"/>
  <c r="D456" i="4"/>
  <c r="D452" i="4"/>
  <c r="D448" i="4"/>
  <c r="D444" i="4"/>
  <c r="D440" i="4"/>
  <c r="D436" i="4"/>
  <c r="D432" i="4"/>
  <c r="D428" i="4"/>
  <c r="D424" i="4"/>
  <c r="D420" i="4"/>
  <c r="D416" i="4"/>
  <c r="D412" i="4"/>
  <c r="D408" i="4"/>
  <c r="D400" i="4"/>
  <c r="D396" i="4"/>
  <c r="D392" i="4"/>
  <c r="D388" i="4"/>
  <c r="D384" i="4"/>
  <c r="D380" i="4"/>
  <c r="D376" i="4"/>
  <c r="D372" i="4"/>
  <c r="D368" i="4"/>
  <c r="D364" i="4"/>
  <c r="D360" i="4"/>
  <c r="D356" i="4"/>
  <c r="D352" i="4"/>
  <c r="D348" i="4"/>
  <c r="D344" i="4"/>
  <c r="D340" i="4"/>
  <c r="D336" i="4"/>
  <c r="D332" i="4"/>
  <c r="D328" i="4"/>
  <c r="D324" i="4"/>
  <c r="D320" i="4"/>
  <c r="D316" i="4"/>
  <c r="D312" i="4"/>
  <c r="D308" i="4"/>
  <c r="D304" i="4"/>
  <c r="D300" i="4"/>
  <c r="D296" i="4"/>
  <c r="D292" i="4"/>
  <c r="D288" i="4"/>
  <c r="D284" i="4"/>
  <c r="D280" i="4"/>
  <c r="D276" i="4"/>
  <c r="D143" i="4"/>
  <c r="D157" i="4"/>
  <c r="D153" i="4"/>
  <c r="D149" i="4"/>
  <c r="D145" i="4"/>
  <c r="D141" i="4"/>
  <c r="D137" i="4"/>
  <c r="D129" i="4"/>
  <c r="D125" i="4"/>
  <c r="D121" i="4"/>
  <c r="D117" i="4"/>
  <c r="D113" i="4"/>
  <c r="D109" i="4"/>
  <c r="D105" i="4"/>
  <c r="D97" i="4"/>
  <c r="D93" i="4"/>
  <c r="D89" i="4"/>
  <c r="D85" i="4"/>
  <c r="D81" i="4"/>
  <c r="D77" i="4"/>
  <c r="D73" i="4"/>
  <c r="D65" i="4"/>
  <c r="D61" i="4"/>
  <c r="D272" i="4"/>
  <c r="D268" i="4"/>
  <c r="D264" i="4"/>
  <c r="D260" i="4"/>
  <c r="D256" i="4"/>
  <c r="D252" i="4"/>
  <c r="D248" i="4"/>
  <c r="D244" i="4"/>
  <c r="D240" i="4"/>
  <c r="D236" i="4"/>
  <c r="D232" i="4"/>
  <c r="D228" i="4"/>
  <c r="D224" i="4"/>
  <c r="D220" i="4"/>
  <c r="D216" i="4"/>
  <c r="D212" i="4"/>
  <c r="D208" i="4"/>
  <c r="D204" i="4"/>
  <c r="D200" i="4"/>
  <c r="D196" i="4"/>
  <c r="D192" i="4"/>
  <c r="D188" i="4"/>
  <c r="D184" i="4"/>
  <c r="D180" i="4"/>
  <c r="D176" i="4"/>
  <c r="D172" i="4"/>
  <c r="D168" i="4"/>
  <c r="D164" i="4"/>
  <c r="D160" i="4"/>
  <c r="D156" i="4"/>
  <c r="D152" i="4"/>
  <c r="D148" i="4"/>
  <c r="D144" i="4"/>
  <c r="D140" i="4"/>
  <c r="D136" i="4"/>
  <c r="D132" i="4"/>
  <c r="D128" i="4"/>
  <c r="D124" i="4"/>
  <c r="D120" i="4"/>
  <c r="D116" i="4"/>
  <c r="D112" i="4"/>
  <c r="D108" i="4"/>
  <c r="D104" i="4"/>
  <c r="D100" i="4"/>
  <c r="D96" i="4"/>
  <c r="D92" i="4"/>
  <c r="D88" i="4"/>
  <c r="D84" i="4"/>
  <c r="D80" i="4"/>
  <c r="D76" i="4"/>
  <c r="D72" i="4"/>
  <c r="D68" i="4"/>
  <c r="D64" i="4"/>
  <c r="D146" i="4"/>
  <c r="D142" i="4"/>
  <c r="D138" i="4"/>
  <c r="D134" i="4"/>
  <c r="D130" i="4"/>
  <c r="D126" i="4"/>
  <c r="D118" i="4"/>
  <c r="D114" i="4"/>
  <c r="D110" i="4"/>
  <c r="D106" i="4"/>
  <c r="D102" i="4"/>
  <c r="D98" i="4"/>
  <c r="D94" i="4"/>
  <c r="D86" i="4"/>
  <c r="D82" i="4"/>
  <c r="D78" i="4"/>
  <c r="D74" i="4"/>
  <c r="D70" i="4"/>
  <c r="D66" i="4"/>
  <c r="D62" i="4"/>
  <c r="D111" i="4"/>
  <c r="D163" i="4"/>
  <c r="D155" i="4"/>
  <c r="D147" i="4"/>
  <c r="D139" i="4"/>
  <c r="D131" i="4"/>
  <c r="D123" i="4"/>
  <c r="D115" i="4"/>
  <c r="D107" i="4"/>
  <c r="D99" i="4"/>
  <c r="D91" i="4"/>
  <c r="D83" i="4"/>
  <c r="D75" i="4"/>
  <c r="D67" i="4"/>
  <c r="D63" i="4"/>
  <c r="B9" i="4" l="1"/>
  <c r="B8" i="4"/>
  <c r="B7" i="4"/>
</calcChain>
</file>

<file path=xl/sharedStrings.xml><?xml version="1.0" encoding="utf-8"?>
<sst xmlns="http://schemas.openxmlformats.org/spreadsheetml/2006/main" count="65" uniqueCount="65">
  <si>
    <t>Yahoo! Ticker</t>
    <phoneticPr fontId="1" type="noConversion"/>
  </si>
  <si>
    <t>Date</t>
  </si>
  <si>
    <t>Px Change</t>
  </si>
  <si>
    <t>Average</t>
  </si>
  <si>
    <t>Maximum</t>
  </si>
  <si>
    <t>Adj Close</t>
  </si>
  <si>
    <t>Calendar Year</t>
  </si>
  <si>
    <t>Volatility Days</t>
  </si>
  <si>
    <t>Volatility</t>
  </si>
  <si>
    <t>Minimum</t>
  </si>
  <si>
    <t>Start Date</t>
  </si>
  <si>
    <t>Current</t>
  </si>
  <si>
    <t>Close</t>
    <phoneticPr fontId="1" type="noConversion"/>
  </si>
  <si>
    <t>Historical Volatility Calculator</t>
  </si>
  <si>
    <t>This spreadsheet will extract historical stock price information from</t>
  </si>
  <si>
    <t>the Yahoo database and calculate the historical (or realised) stock price volatility.</t>
  </si>
  <si>
    <t>The spreadsheet is provided free of charge so it is not officially supported.</t>
  </si>
  <si>
    <t>I can of course answer questions you may have and I would like to hear your</t>
  </si>
  <si>
    <t>suggestions, however, I cannot promise to fix bugs/add new features</t>
  </si>
  <si>
    <t>upon request.</t>
  </si>
  <si>
    <t>Please visit my website for contact info</t>
  </si>
  <si>
    <t>How to use</t>
  </si>
  <si>
    <t>Note: you need to enable Macros for this spreadsheet to work. For help on</t>
  </si>
  <si>
    <t>enabling Macros, see the Troubleshooting section below.</t>
  </si>
  <si>
    <t>The yellow shaded cells are for user input.</t>
  </si>
  <si>
    <t>B1 - Yahoo! Ticker</t>
  </si>
  <si>
    <t>Enter a valid stock ticker code on which to analyse. If you're not sure of the</t>
  </si>
  <si>
    <t>stock ticker click on the Symbol Lookup link, which will take you to Yahoo</t>
  </si>
  <si>
    <t>for you to check.</t>
  </si>
  <si>
    <t>You can enter stocks from 100's of different exchanges. For example, if you</t>
  </si>
  <si>
    <t>wanted to look at BHP traded on the ASX (Australia) enter BHP.AX. Or say</t>
  </si>
  <si>
    <t>you wanted to check India's Nifty Index, just enter ^NSEI.</t>
  </si>
  <si>
    <t>B2 Calendar Year</t>
  </si>
  <si>
    <t>For the calculation of volatility you need to decide how many volatility days</t>
  </si>
  <si>
    <t>are in a year. Usually the number is either 365 or 256 to represent either</t>
  </si>
  <si>
    <t>standard calendar days or actual trading days.</t>
  </si>
  <si>
    <t>B3 Volatility Days</t>
  </si>
  <si>
    <t>This cell enables you to choose how many days to look back to calculate</t>
  </si>
  <si>
    <t>the volatility.</t>
  </si>
  <si>
    <t>B4 Start Date</t>
  </si>
  <si>
    <t>The start date for the historical data.</t>
  </si>
  <si>
    <t>Troubleshooting</t>
  </si>
  <si>
    <t>As said previously, you will need to have Macros enabled for the data extraction</t>
  </si>
  <si>
    <t>and calculations to work. Follow the steps below to enable Macros:</t>
  </si>
  <si>
    <t>Excel 97 - 2003</t>
  </si>
  <si>
    <t>Go to Tools/Options</t>
  </si>
  <si>
    <t>Click on the Security tab</t>
  </si>
  <si>
    <t>Go to Macro Security</t>
  </si>
  <si>
    <t>Change the setting to Medium</t>
  </si>
  <si>
    <t>Close and reopen the workbook. It will ask you if you want to enable Macros, click Yes</t>
  </si>
  <si>
    <t>Excel 2007</t>
  </si>
  <si>
    <t>First, make sure that you can see the Developer tab</t>
  </si>
  <si>
    <t>If there is no Developer tab, click on the Office icon to the top left of the application</t>
  </si>
  <si>
    <t>and choose Excel Options, which is located at the bottom right of the popup.</t>
  </si>
  <si>
    <t>Now click on Popular at the top left. Check the box titled "Show developer tab in the ribbon".</t>
  </si>
  <si>
    <t>Now, click on the Developer tab.</t>
  </si>
  <si>
    <t>Click on Macro Security.</t>
  </si>
  <si>
    <t>Select "Disable all macros with notification" and press ok.</t>
  </si>
  <si>
    <t>Close and reopen spreadsheet.</t>
  </si>
  <si>
    <t>Now you should see a Security Warning appear in the toolbar</t>
  </si>
  <si>
    <t>that reads "Macros have been disabled". Click on the options button.</t>
  </si>
  <si>
    <t>Select "Enable this content" and press ok.</t>
  </si>
  <si>
    <t>Symbol Lookup</t>
  </si>
  <si>
    <t>http://www.OptionTradingTips.com</t>
  </si>
  <si>
    <t>AAPL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</si>
</sst>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b/>
      <sz val="16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21">
    <xf numFmtId="0" fontId="0" fillId="0" borderId="0" xfId="0"/>
    <xf numFmtId="10" fontId="0" fillId="0" borderId="0" xfId="0" applyNumberFormat="1"/>
    <xf numFmtId="0" fontId="0" fillId="0" borderId="1" xfId="0" applyBorder="1"/>
    <xf numFmtId="0" fontId="0" fillId="2" borderId="2" xfId="0" applyFill="1" applyBorder="1"/>
    <xf numFmtId="14" fontId="0" fillId="3" borderId="3" xfId="0" applyNumberFormat="1" applyFill="1" applyBorder="1"/>
    <xf numFmtId="0" fontId="0" fillId="3" borderId="4" xfId="0" applyFill="1" applyBorder="1"/>
    <xf numFmtId="14" fontId="0" fillId="3" borderId="5" xfId="0" applyNumberFormat="1" applyFill="1" applyBorder="1"/>
    <xf numFmtId="0" fontId="0" fillId="3" borderId="6" xfId="0" applyFill="1" applyBorder="1"/>
    <xf numFmtId="14" fontId="0" fillId="2" borderId="2" xfId="0" applyNumberFormat="1" applyFill="1" applyBorder="1"/>
    <xf numFmtId="10" fontId="0" fillId="0" borderId="2" xfId="0" applyNumberFormat="1" applyBorder="1"/>
    <xf numFmtId="0" fontId="0" fillId="0" borderId="7" xfId="0" applyBorder="1"/>
    <xf numFmtId="10" fontId="0" fillId="0" borderId="7" xfId="0" applyNumberFormat="1" applyBorder="1"/>
    <xf numFmtId="0" fontId="0" fillId="0" borderId="8" xfId="0" applyBorder="1"/>
    <xf numFmtId="10" fontId="0" fillId="0" borderId="0" xfId="0" applyNumberFormat="1" applyBorder="1"/>
    <xf numFmtId="0" fontId="0" fillId="3" borderId="9" xfId="0" applyFill="1" applyBorder="1"/>
    <xf numFmtId="14" fontId="0" fillId="3" borderId="10" xfId="0" applyNumberFormat="1" applyFill="1" applyBorder="1"/>
    <xf numFmtId="0" fontId="0" fillId="0" borderId="0" xfId="0" applyNumberFormat="1"/>
    <xf numFmtId="0" fontId="3" fillId="0" borderId="0" xfId="0" applyFont="1"/>
    <xf numFmtId="0" fontId="2" fillId="0" borderId="0" xfId="1" applyAlignment="1" applyProtection="1"/>
    <xf numFmtId="0" fontId="4" fillId="0" borderId="0" xfId="0" applyFont="1"/>
    <xf numFmtId="10" fontId="2" fillId="0" borderId="0" xfId="1" applyNumberFormat="1" applyAlignment="1" applyProtection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485063555543343E-2"/>
          <c:y val="5.2419406442365528E-2"/>
          <c:w val="0.74610822073132299"/>
          <c:h val="0.89717830257125619"/>
        </c:manualLayout>
      </c:layout>
      <c:lineChart>
        <c:grouping val="standard"/>
        <c:varyColors val="0"/>
        <c:ser>
          <c:idx val="1"/>
          <c:order val="0"/>
          <c:tx>
            <c:v>Price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Volatility!$A$61:$A$900</c:f>
              <c:numCache>
                <c:formatCode>m/d/yyyy</c:formatCode>
                <c:ptCount val="840"/>
                <c:pt idx="0">
                  <c:v>38427</c:v>
                </c:pt>
                <c:pt idx="1">
                  <c:v>38428</c:v>
                </c:pt>
                <c:pt idx="2">
                  <c:v>38429</c:v>
                </c:pt>
                <c:pt idx="3">
                  <c:v>38432</c:v>
                </c:pt>
                <c:pt idx="4">
                  <c:v>38433</c:v>
                </c:pt>
                <c:pt idx="5">
                  <c:v>38434</c:v>
                </c:pt>
                <c:pt idx="6">
                  <c:v>38435</c:v>
                </c:pt>
                <c:pt idx="7">
                  <c:v>38439</c:v>
                </c:pt>
                <c:pt idx="8">
                  <c:v>38440</c:v>
                </c:pt>
                <c:pt idx="9">
                  <c:v>38441</c:v>
                </c:pt>
                <c:pt idx="10">
                  <c:v>38442</c:v>
                </c:pt>
                <c:pt idx="11">
                  <c:v>38443</c:v>
                </c:pt>
                <c:pt idx="12">
                  <c:v>38446</c:v>
                </c:pt>
                <c:pt idx="13">
                  <c:v>38447</c:v>
                </c:pt>
                <c:pt idx="14">
                  <c:v>38448</c:v>
                </c:pt>
                <c:pt idx="15">
                  <c:v>38449</c:v>
                </c:pt>
                <c:pt idx="16">
                  <c:v>38450</c:v>
                </c:pt>
                <c:pt idx="17">
                  <c:v>38453</c:v>
                </c:pt>
                <c:pt idx="18">
                  <c:v>38454</c:v>
                </c:pt>
                <c:pt idx="19">
                  <c:v>38455</c:v>
                </c:pt>
                <c:pt idx="20">
                  <c:v>38456</c:v>
                </c:pt>
                <c:pt idx="21">
                  <c:v>38457</c:v>
                </c:pt>
                <c:pt idx="22">
                  <c:v>38460</c:v>
                </c:pt>
                <c:pt idx="23">
                  <c:v>38461</c:v>
                </c:pt>
                <c:pt idx="24">
                  <c:v>38462</c:v>
                </c:pt>
                <c:pt idx="25">
                  <c:v>38463</c:v>
                </c:pt>
                <c:pt idx="26">
                  <c:v>38464</c:v>
                </c:pt>
                <c:pt idx="27">
                  <c:v>38467</c:v>
                </c:pt>
                <c:pt idx="28">
                  <c:v>38468</c:v>
                </c:pt>
                <c:pt idx="29">
                  <c:v>38469</c:v>
                </c:pt>
                <c:pt idx="30">
                  <c:v>38470</c:v>
                </c:pt>
                <c:pt idx="31">
                  <c:v>38471</c:v>
                </c:pt>
                <c:pt idx="32">
                  <c:v>38474</c:v>
                </c:pt>
                <c:pt idx="33">
                  <c:v>38475</c:v>
                </c:pt>
                <c:pt idx="34">
                  <c:v>38476</c:v>
                </c:pt>
                <c:pt idx="35">
                  <c:v>38477</c:v>
                </c:pt>
                <c:pt idx="36">
                  <c:v>38478</c:v>
                </c:pt>
                <c:pt idx="37">
                  <c:v>38481</c:v>
                </c:pt>
                <c:pt idx="38">
                  <c:v>38482</c:v>
                </c:pt>
                <c:pt idx="39">
                  <c:v>38483</c:v>
                </c:pt>
                <c:pt idx="40">
                  <c:v>38484</c:v>
                </c:pt>
                <c:pt idx="41">
                  <c:v>38485</c:v>
                </c:pt>
                <c:pt idx="42">
                  <c:v>38488</c:v>
                </c:pt>
                <c:pt idx="43">
                  <c:v>38489</c:v>
                </c:pt>
                <c:pt idx="44">
                  <c:v>38490</c:v>
                </c:pt>
                <c:pt idx="45">
                  <c:v>38491</c:v>
                </c:pt>
                <c:pt idx="46">
                  <c:v>38492</c:v>
                </c:pt>
                <c:pt idx="47">
                  <c:v>38495</c:v>
                </c:pt>
                <c:pt idx="48">
                  <c:v>38496</c:v>
                </c:pt>
                <c:pt idx="49">
                  <c:v>38497</c:v>
                </c:pt>
                <c:pt idx="50">
                  <c:v>38498</c:v>
                </c:pt>
                <c:pt idx="51">
                  <c:v>38499</c:v>
                </c:pt>
                <c:pt idx="52">
                  <c:v>38503</c:v>
                </c:pt>
                <c:pt idx="53">
                  <c:v>38504</c:v>
                </c:pt>
                <c:pt idx="54">
                  <c:v>38505</c:v>
                </c:pt>
                <c:pt idx="55">
                  <c:v>38506</c:v>
                </c:pt>
                <c:pt idx="56">
                  <c:v>38509</c:v>
                </c:pt>
                <c:pt idx="57">
                  <c:v>38510</c:v>
                </c:pt>
                <c:pt idx="58">
                  <c:v>38511</c:v>
                </c:pt>
                <c:pt idx="59">
                  <c:v>38512</c:v>
                </c:pt>
                <c:pt idx="60">
                  <c:v>38513</c:v>
                </c:pt>
                <c:pt idx="61">
                  <c:v>38516</c:v>
                </c:pt>
                <c:pt idx="62">
                  <c:v>38517</c:v>
                </c:pt>
                <c:pt idx="63">
                  <c:v>38518</c:v>
                </c:pt>
                <c:pt idx="64">
                  <c:v>38519</c:v>
                </c:pt>
                <c:pt idx="65">
                  <c:v>38520</c:v>
                </c:pt>
                <c:pt idx="66">
                  <c:v>38523</c:v>
                </c:pt>
                <c:pt idx="67">
                  <c:v>38524</c:v>
                </c:pt>
                <c:pt idx="68">
                  <c:v>38525</c:v>
                </c:pt>
                <c:pt idx="69">
                  <c:v>38526</c:v>
                </c:pt>
                <c:pt idx="70">
                  <c:v>38527</c:v>
                </c:pt>
                <c:pt idx="71">
                  <c:v>38530</c:v>
                </c:pt>
                <c:pt idx="72">
                  <c:v>38531</c:v>
                </c:pt>
                <c:pt idx="73">
                  <c:v>38532</c:v>
                </c:pt>
                <c:pt idx="74">
                  <c:v>38533</c:v>
                </c:pt>
                <c:pt idx="75">
                  <c:v>38534</c:v>
                </c:pt>
                <c:pt idx="76">
                  <c:v>38538</c:v>
                </c:pt>
                <c:pt idx="77">
                  <c:v>38539</c:v>
                </c:pt>
                <c:pt idx="78">
                  <c:v>38540</c:v>
                </c:pt>
                <c:pt idx="79">
                  <c:v>38541</c:v>
                </c:pt>
                <c:pt idx="80">
                  <c:v>38544</c:v>
                </c:pt>
                <c:pt idx="81">
                  <c:v>38545</c:v>
                </c:pt>
                <c:pt idx="82">
                  <c:v>38546</c:v>
                </c:pt>
                <c:pt idx="83">
                  <c:v>38547</c:v>
                </c:pt>
                <c:pt idx="84">
                  <c:v>38548</c:v>
                </c:pt>
                <c:pt idx="85">
                  <c:v>38551</c:v>
                </c:pt>
                <c:pt idx="86">
                  <c:v>38552</c:v>
                </c:pt>
                <c:pt idx="87">
                  <c:v>38553</c:v>
                </c:pt>
                <c:pt idx="88">
                  <c:v>38554</c:v>
                </c:pt>
                <c:pt idx="89">
                  <c:v>38555</c:v>
                </c:pt>
                <c:pt idx="90">
                  <c:v>38558</c:v>
                </c:pt>
                <c:pt idx="91">
                  <c:v>38559</c:v>
                </c:pt>
                <c:pt idx="92">
                  <c:v>38560</c:v>
                </c:pt>
                <c:pt idx="93">
                  <c:v>38561</c:v>
                </c:pt>
                <c:pt idx="94">
                  <c:v>38562</c:v>
                </c:pt>
                <c:pt idx="95">
                  <c:v>38565</c:v>
                </c:pt>
                <c:pt idx="96">
                  <c:v>38566</c:v>
                </c:pt>
                <c:pt idx="97">
                  <c:v>38567</c:v>
                </c:pt>
                <c:pt idx="98">
                  <c:v>38568</c:v>
                </c:pt>
                <c:pt idx="99">
                  <c:v>38569</c:v>
                </c:pt>
                <c:pt idx="100">
                  <c:v>38572</c:v>
                </c:pt>
                <c:pt idx="101">
                  <c:v>38573</c:v>
                </c:pt>
                <c:pt idx="102">
                  <c:v>38574</c:v>
                </c:pt>
                <c:pt idx="103">
                  <c:v>38575</c:v>
                </c:pt>
                <c:pt idx="104">
                  <c:v>38576</c:v>
                </c:pt>
                <c:pt idx="105">
                  <c:v>38579</c:v>
                </c:pt>
                <c:pt idx="106">
                  <c:v>38580</c:v>
                </c:pt>
                <c:pt idx="107">
                  <c:v>38581</c:v>
                </c:pt>
                <c:pt idx="108">
                  <c:v>38582</c:v>
                </c:pt>
                <c:pt idx="109">
                  <c:v>38583</c:v>
                </c:pt>
                <c:pt idx="110">
                  <c:v>38586</c:v>
                </c:pt>
                <c:pt idx="111">
                  <c:v>38587</c:v>
                </c:pt>
                <c:pt idx="112">
                  <c:v>38588</c:v>
                </c:pt>
                <c:pt idx="113">
                  <c:v>38589</c:v>
                </c:pt>
                <c:pt idx="114">
                  <c:v>38590</c:v>
                </c:pt>
                <c:pt idx="115">
                  <c:v>38593</c:v>
                </c:pt>
                <c:pt idx="116">
                  <c:v>38594</c:v>
                </c:pt>
                <c:pt idx="117">
                  <c:v>38595</c:v>
                </c:pt>
                <c:pt idx="118">
                  <c:v>38596</c:v>
                </c:pt>
                <c:pt idx="119">
                  <c:v>38597</c:v>
                </c:pt>
                <c:pt idx="120">
                  <c:v>38601</c:v>
                </c:pt>
                <c:pt idx="121">
                  <c:v>38602</c:v>
                </c:pt>
                <c:pt idx="122">
                  <c:v>38603</c:v>
                </c:pt>
                <c:pt idx="123">
                  <c:v>38604</c:v>
                </c:pt>
                <c:pt idx="124">
                  <c:v>38607</c:v>
                </c:pt>
                <c:pt idx="125">
                  <c:v>38608</c:v>
                </c:pt>
                <c:pt idx="126">
                  <c:v>38609</c:v>
                </c:pt>
                <c:pt idx="127">
                  <c:v>38610</c:v>
                </c:pt>
                <c:pt idx="128">
                  <c:v>38611</c:v>
                </c:pt>
                <c:pt idx="129">
                  <c:v>38614</c:v>
                </c:pt>
                <c:pt idx="130">
                  <c:v>38615</c:v>
                </c:pt>
                <c:pt idx="131">
                  <c:v>38616</c:v>
                </c:pt>
                <c:pt idx="132">
                  <c:v>38617</c:v>
                </c:pt>
                <c:pt idx="133">
                  <c:v>38618</c:v>
                </c:pt>
                <c:pt idx="134">
                  <c:v>38621</c:v>
                </c:pt>
                <c:pt idx="135">
                  <c:v>38622</c:v>
                </c:pt>
                <c:pt idx="136">
                  <c:v>38623</c:v>
                </c:pt>
                <c:pt idx="137">
                  <c:v>38624</c:v>
                </c:pt>
                <c:pt idx="138">
                  <c:v>38625</c:v>
                </c:pt>
                <c:pt idx="139">
                  <c:v>38628</c:v>
                </c:pt>
                <c:pt idx="140">
                  <c:v>38629</c:v>
                </c:pt>
                <c:pt idx="141">
                  <c:v>38630</c:v>
                </c:pt>
                <c:pt idx="142">
                  <c:v>38631</c:v>
                </c:pt>
                <c:pt idx="143">
                  <c:v>38632</c:v>
                </c:pt>
                <c:pt idx="144">
                  <c:v>38635</c:v>
                </c:pt>
                <c:pt idx="145">
                  <c:v>38636</c:v>
                </c:pt>
                <c:pt idx="146">
                  <c:v>38637</c:v>
                </c:pt>
                <c:pt idx="147">
                  <c:v>38638</c:v>
                </c:pt>
                <c:pt idx="148">
                  <c:v>38639</c:v>
                </c:pt>
                <c:pt idx="149">
                  <c:v>38642</c:v>
                </c:pt>
                <c:pt idx="150">
                  <c:v>38643</c:v>
                </c:pt>
                <c:pt idx="151">
                  <c:v>38644</c:v>
                </c:pt>
                <c:pt idx="152">
                  <c:v>38645</c:v>
                </c:pt>
                <c:pt idx="153">
                  <c:v>38646</c:v>
                </c:pt>
                <c:pt idx="154">
                  <c:v>38649</c:v>
                </c:pt>
                <c:pt idx="155">
                  <c:v>38650</c:v>
                </c:pt>
                <c:pt idx="156">
                  <c:v>38651</c:v>
                </c:pt>
                <c:pt idx="157">
                  <c:v>38652</c:v>
                </c:pt>
                <c:pt idx="158">
                  <c:v>38653</c:v>
                </c:pt>
                <c:pt idx="159">
                  <c:v>38656</c:v>
                </c:pt>
                <c:pt idx="160">
                  <c:v>38657</c:v>
                </c:pt>
                <c:pt idx="161">
                  <c:v>38658</c:v>
                </c:pt>
                <c:pt idx="162">
                  <c:v>38659</c:v>
                </c:pt>
                <c:pt idx="163">
                  <c:v>38660</c:v>
                </c:pt>
                <c:pt idx="164">
                  <c:v>38663</c:v>
                </c:pt>
                <c:pt idx="165">
                  <c:v>38664</c:v>
                </c:pt>
                <c:pt idx="166">
                  <c:v>38665</c:v>
                </c:pt>
                <c:pt idx="167">
                  <c:v>38666</c:v>
                </c:pt>
                <c:pt idx="168">
                  <c:v>38667</c:v>
                </c:pt>
                <c:pt idx="169">
                  <c:v>38670</c:v>
                </c:pt>
                <c:pt idx="170">
                  <c:v>38671</c:v>
                </c:pt>
                <c:pt idx="171">
                  <c:v>38672</c:v>
                </c:pt>
                <c:pt idx="172">
                  <c:v>38673</c:v>
                </c:pt>
                <c:pt idx="173">
                  <c:v>38674</c:v>
                </c:pt>
                <c:pt idx="174">
                  <c:v>38677</c:v>
                </c:pt>
                <c:pt idx="175">
                  <c:v>38678</c:v>
                </c:pt>
                <c:pt idx="176">
                  <c:v>38679</c:v>
                </c:pt>
                <c:pt idx="177">
                  <c:v>38681</c:v>
                </c:pt>
                <c:pt idx="178">
                  <c:v>38684</c:v>
                </c:pt>
                <c:pt idx="179">
                  <c:v>38685</c:v>
                </c:pt>
                <c:pt idx="180">
                  <c:v>38686</c:v>
                </c:pt>
                <c:pt idx="181">
                  <c:v>38687</c:v>
                </c:pt>
                <c:pt idx="182">
                  <c:v>38688</c:v>
                </c:pt>
                <c:pt idx="183">
                  <c:v>38691</c:v>
                </c:pt>
                <c:pt idx="184">
                  <c:v>38692</c:v>
                </c:pt>
                <c:pt idx="185">
                  <c:v>38693</c:v>
                </c:pt>
                <c:pt idx="186">
                  <c:v>38694</c:v>
                </c:pt>
                <c:pt idx="187">
                  <c:v>38695</c:v>
                </c:pt>
                <c:pt idx="188">
                  <c:v>38698</c:v>
                </c:pt>
                <c:pt idx="189">
                  <c:v>38699</c:v>
                </c:pt>
                <c:pt idx="190">
                  <c:v>38700</c:v>
                </c:pt>
                <c:pt idx="191">
                  <c:v>38701</c:v>
                </c:pt>
                <c:pt idx="192">
                  <c:v>38702</c:v>
                </c:pt>
                <c:pt idx="193">
                  <c:v>38705</c:v>
                </c:pt>
                <c:pt idx="194">
                  <c:v>38706</c:v>
                </c:pt>
                <c:pt idx="195">
                  <c:v>38707</c:v>
                </c:pt>
                <c:pt idx="196">
                  <c:v>38708</c:v>
                </c:pt>
                <c:pt idx="197">
                  <c:v>38709</c:v>
                </c:pt>
                <c:pt idx="198">
                  <c:v>38713</c:v>
                </c:pt>
                <c:pt idx="199">
                  <c:v>38714</c:v>
                </c:pt>
                <c:pt idx="200">
                  <c:v>38715</c:v>
                </c:pt>
                <c:pt idx="201">
                  <c:v>38716</c:v>
                </c:pt>
                <c:pt idx="202">
                  <c:v>38720</c:v>
                </c:pt>
                <c:pt idx="203">
                  <c:v>38721</c:v>
                </c:pt>
                <c:pt idx="204">
                  <c:v>38722</c:v>
                </c:pt>
                <c:pt idx="205">
                  <c:v>38723</c:v>
                </c:pt>
                <c:pt idx="206">
                  <c:v>38726</c:v>
                </c:pt>
                <c:pt idx="207">
                  <c:v>38727</c:v>
                </c:pt>
                <c:pt idx="208">
                  <c:v>38728</c:v>
                </c:pt>
                <c:pt idx="209">
                  <c:v>38729</c:v>
                </c:pt>
                <c:pt idx="210">
                  <c:v>38730</c:v>
                </c:pt>
                <c:pt idx="211">
                  <c:v>38734</c:v>
                </c:pt>
                <c:pt idx="212">
                  <c:v>38735</c:v>
                </c:pt>
                <c:pt idx="213">
                  <c:v>38736</c:v>
                </c:pt>
                <c:pt idx="214">
                  <c:v>38737</c:v>
                </c:pt>
                <c:pt idx="215">
                  <c:v>38740</c:v>
                </c:pt>
                <c:pt idx="216">
                  <c:v>38741</c:v>
                </c:pt>
                <c:pt idx="217">
                  <c:v>38742</c:v>
                </c:pt>
                <c:pt idx="218">
                  <c:v>38743</c:v>
                </c:pt>
                <c:pt idx="219">
                  <c:v>38744</c:v>
                </c:pt>
                <c:pt idx="220">
                  <c:v>38747</c:v>
                </c:pt>
                <c:pt idx="221">
                  <c:v>38748</c:v>
                </c:pt>
                <c:pt idx="222">
                  <c:v>38749</c:v>
                </c:pt>
                <c:pt idx="223">
                  <c:v>38750</c:v>
                </c:pt>
                <c:pt idx="224">
                  <c:v>38751</c:v>
                </c:pt>
                <c:pt idx="225">
                  <c:v>38754</c:v>
                </c:pt>
                <c:pt idx="226">
                  <c:v>38755</c:v>
                </c:pt>
                <c:pt idx="227">
                  <c:v>38756</c:v>
                </c:pt>
                <c:pt idx="228">
                  <c:v>38757</c:v>
                </c:pt>
                <c:pt idx="229">
                  <c:v>38758</c:v>
                </c:pt>
                <c:pt idx="230">
                  <c:v>38761</c:v>
                </c:pt>
                <c:pt idx="231">
                  <c:v>38762</c:v>
                </c:pt>
                <c:pt idx="232">
                  <c:v>38763</c:v>
                </c:pt>
                <c:pt idx="233">
                  <c:v>38764</c:v>
                </c:pt>
                <c:pt idx="234">
                  <c:v>38765</c:v>
                </c:pt>
                <c:pt idx="235">
                  <c:v>38769</c:v>
                </c:pt>
                <c:pt idx="236">
                  <c:v>38770</c:v>
                </c:pt>
                <c:pt idx="237">
                  <c:v>38771</c:v>
                </c:pt>
                <c:pt idx="238">
                  <c:v>38772</c:v>
                </c:pt>
                <c:pt idx="239">
                  <c:v>38775</c:v>
                </c:pt>
                <c:pt idx="240">
                  <c:v>38776</c:v>
                </c:pt>
                <c:pt idx="241">
                  <c:v>38777</c:v>
                </c:pt>
                <c:pt idx="242">
                  <c:v>38778</c:v>
                </c:pt>
                <c:pt idx="243">
                  <c:v>38779</c:v>
                </c:pt>
                <c:pt idx="244">
                  <c:v>38782</c:v>
                </c:pt>
                <c:pt idx="245">
                  <c:v>38783</c:v>
                </c:pt>
                <c:pt idx="246">
                  <c:v>38784</c:v>
                </c:pt>
                <c:pt idx="247">
                  <c:v>38785</c:v>
                </c:pt>
                <c:pt idx="248">
                  <c:v>38786</c:v>
                </c:pt>
                <c:pt idx="249">
                  <c:v>38789</c:v>
                </c:pt>
                <c:pt idx="250">
                  <c:v>38790</c:v>
                </c:pt>
                <c:pt idx="251">
                  <c:v>38791</c:v>
                </c:pt>
                <c:pt idx="252">
                  <c:v>38792</c:v>
                </c:pt>
                <c:pt idx="253">
                  <c:v>38793</c:v>
                </c:pt>
                <c:pt idx="254">
                  <c:v>38796</c:v>
                </c:pt>
                <c:pt idx="255">
                  <c:v>38797</c:v>
                </c:pt>
                <c:pt idx="256">
                  <c:v>38798</c:v>
                </c:pt>
                <c:pt idx="257">
                  <c:v>38799</c:v>
                </c:pt>
                <c:pt idx="258">
                  <c:v>38800</c:v>
                </c:pt>
                <c:pt idx="259">
                  <c:v>38803</c:v>
                </c:pt>
                <c:pt idx="260">
                  <c:v>38804</c:v>
                </c:pt>
                <c:pt idx="261">
                  <c:v>38805</c:v>
                </c:pt>
                <c:pt idx="262">
                  <c:v>38806</c:v>
                </c:pt>
                <c:pt idx="263">
                  <c:v>38807</c:v>
                </c:pt>
                <c:pt idx="264">
                  <c:v>38810</c:v>
                </c:pt>
                <c:pt idx="265">
                  <c:v>38811</c:v>
                </c:pt>
                <c:pt idx="266">
                  <c:v>38812</c:v>
                </c:pt>
                <c:pt idx="267">
                  <c:v>38813</c:v>
                </c:pt>
                <c:pt idx="268">
                  <c:v>38814</c:v>
                </c:pt>
                <c:pt idx="269">
                  <c:v>38817</c:v>
                </c:pt>
                <c:pt idx="270">
                  <c:v>38818</c:v>
                </c:pt>
                <c:pt idx="271">
                  <c:v>38819</c:v>
                </c:pt>
                <c:pt idx="272">
                  <c:v>38820</c:v>
                </c:pt>
                <c:pt idx="273">
                  <c:v>38824</c:v>
                </c:pt>
                <c:pt idx="274">
                  <c:v>38825</c:v>
                </c:pt>
                <c:pt idx="275">
                  <c:v>38826</c:v>
                </c:pt>
                <c:pt idx="276">
                  <c:v>38827</c:v>
                </c:pt>
                <c:pt idx="277">
                  <c:v>38828</c:v>
                </c:pt>
                <c:pt idx="278">
                  <c:v>38831</c:v>
                </c:pt>
                <c:pt idx="279">
                  <c:v>38832</c:v>
                </c:pt>
                <c:pt idx="280">
                  <c:v>38833</c:v>
                </c:pt>
                <c:pt idx="281">
                  <c:v>38834</c:v>
                </c:pt>
                <c:pt idx="282">
                  <c:v>38835</c:v>
                </c:pt>
                <c:pt idx="283">
                  <c:v>38838</c:v>
                </c:pt>
                <c:pt idx="284">
                  <c:v>38839</c:v>
                </c:pt>
                <c:pt idx="285">
                  <c:v>38840</c:v>
                </c:pt>
                <c:pt idx="286">
                  <c:v>38841</c:v>
                </c:pt>
                <c:pt idx="287">
                  <c:v>38842</c:v>
                </c:pt>
                <c:pt idx="288">
                  <c:v>38845</c:v>
                </c:pt>
                <c:pt idx="289">
                  <c:v>38846</c:v>
                </c:pt>
                <c:pt idx="290">
                  <c:v>38847</c:v>
                </c:pt>
                <c:pt idx="291">
                  <c:v>38848</c:v>
                </c:pt>
                <c:pt idx="292">
                  <c:v>38849</c:v>
                </c:pt>
                <c:pt idx="293">
                  <c:v>38852</c:v>
                </c:pt>
                <c:pt idx="294">
                  <c:v>38853</c:v>
                </c:pt>
                <c:pt idx="295">
                  <c:v>38854</c:v>
                </c:pt>
                <c:pt idx="296">
                  <c:v>38855</c:v>
                </c:pt>
                <c:pt idx="297">
                  <c:v>38856</c:v>
                </c:pt>
                <c:pt idx="298">
                  <c:v>38859</c:v>
                </c:pt>
                <c:pt idx="299">
                  <c:v>38860</c:v>
                </c:pt>
                <c:pt idx="300">
                  <c:v>38861</c:v>
                </c:pt>
                <c:pt idx="301">
                  <c:v>38862</c:v>
                </c:pt>
                <c:pt idx="302">
                  <c:v>38863</c:v>
                </c:pt>
                <c:pt idx="303">
                  <c:v>38867</c:v>
                </c:pt>
                <c:pt idx="304">
                  <c:v>38868</c:v>
                </c:pt>
                <c:pt idx="305">
                  <c:v>38869</c:v>
                </c:pt>
                <c:pt idx="306">
                  <c:v>38870</c:v>
                </c:pt>
                <c:pt idx="307">
                  <c:v>38873</c:v>
                </c:pt>
                <c:pt idx="308">
                  <c:v>38874</c:v>
                </c:pt>
                <c:pt idx="309">
                  <c:v>38875</c:v>
                </c:pt>
                <c:pt idx="310">
                  <c:v>38876</c:v>
                </c:pt>
                <c:pt idx="311">
                  <c:v>38877</c:v>
                </c:pt>
                <c:pt idx="312">
                  <c:v>38880</c:v>
                </c:pt>
                <c:pt idx="313">
                  <c:v>38881</c:v>
                </c:pt>
                <c:pt idx="314">
                  <c:v>38882</c:v>
                </c:pt>
                <c:pt idx="315">
                  <c:v>38883</c:v>
                </c:pt>
                <c:pt idx="316">
                  <c:v>38884</c:v>
                </c:pt>
                <c:pt idx="317">
                  <c:v>38887</c:v>
                </c:pt>
                <c:pt idx="318">
                  <c:v>38888</c:v>
                </c:pt>
                <c:pt idx="319">
                  <c:v>38889</c:v>
                </c:pt>
                <c:pt idx="320">
                  <c:v>38890</c:v>
                </c:pt>
                <c:pt idx="321">
                  <c:v>38891</c:v>
                </c:pt>
                <c:pt idx="322">
                  <c:v>38894</c:v>
                </c:pt>
                <c:pt idx="323">
                  <c:v>38895</c:v>
                </c:pt>
                <c:pt idx="324">
                  <c:v>38896</c:v>
                </c:pt>
                <c:pt idx="325">
                  <c:v>38897</c:v>
                </c:pt>
                <c:pt idx="326">
                  <c:v>38898</c:v>
                </c:pt>
                <c:pt idx="327">
                  <c:v>38901</c:v>
                </c:pt>
                <c:pt idx="328">
                  <c:v>38903</c:v>
                </c:pt>
                <c:pt idx="329">
                  <c:v>38904</c:v>
                </c:pt>
                <c:pt idx="330">
                  <c:v>38905</c:v>
                </c:pt>
                <c:pt idx="331">
                  <c:v>38908</c:v>
                </c:pt>
                <c:pt idx="332">
                  <c:v>38909</c:v>
                </c:pt>
                <c:pt idx="333">
                  <c:v>38910</c:v>
                </c:pt>
                <c:pt idx="334">
                  <c:v>38911</c:v>
                </c:pt>
                <c:pt idx="335">
                  <c:v>38912</c:v>
                </c:pt>
                <c:pt idx="336">
                  <c:v>38915</c:v>
                </c:pt>
                <c:pt idx="337">
                  <c:v>38916</c:v>
                </c:pt>
                <c:pt idx="338">
                  <c:v>38917</c:v>
                </c:pt>
                <c:pt idx="339">
                  <c:v>38918</c:v>
                </c:pt>
                <c:pt idx="340">
                  <c:v>38919</c:v>
                </c:pt>
                <c:pt idx="341">
                  <c:v>38922</c:v>
                </c:pt>
                <c:pt idx="342">
                  <c:v>38923</c:v>
                </c:pt>
                <c:pt idx="343">
                  <c:v>38924</c:v>
                </c:pt>
                <c:pt idx="344">
                  <c:v>38925</c:v>
                </c:pt>
                <c:pt idx="345">
                  <c:v>38926</c:v>
                </c:pt>
                <c:pt idx="346">
                  <c:v>38929</c:v>
                </c:pt>
                <c:pt idx="347">
                  <c:v>38930</c:v>
                </c:pt>
                <c:pt idx="348">
                  <c:v>38931</c:v>
                </c:pt>
                <c:pt idx="349">
                  <c:v>38932</c:v>
                </c:pt>
                <c:pt idx="350">
                  <c:v>38933</c:v>
                </c:pt>
                <c:pt idx="351">
                  <c:v>38936</c:v>
                </c:pt>
                <c:pt idx="352">
                  <c:v>38937</c:v>
                </c:pt>
                <c:pt idx="353">
                  <c:v>38938</c:v>
                </c:pt>
                <c:pt idx="354">
                  <c:v>38939</c:v>
                </c:pt>
                <c:pt idx="355">
                  <c:v>38940</c:v>
                </c:pt>
                <c:pt idx="356">
                  <c:v>38943</c:v>
                </c:pt>
                <c:pt idx="357">
                  <c:v>38944</c:v>
                </c:pt>
                <c:pt idx="358">
                  <c:v>38945</c:v>
                </c:pt>
                <c:pt idx="359">
                  <c:v>38946</c:v>
                </c:pt>
                <c:pt idx="360">
                  <c:v>38947</c:v>
                </c:pt>
                <c:pt idx="361">
                  <c:v>38950</c:v>
                </c:pt>
                <c:pt idx="362">
                  <c:v>38951</c:v>
                </c:pt>
                <c:pt idx="363">
                  <c:v>38952</c:v>
                </c:pt>
                <c:pt idx="364">
                  <c:v>38953</c:v>
                </c:pt>
                <c:pt idx="365">
                  <c:v>38954</c:v>
                </c:pt>
                <c:pt idx="366">
                  <c:v>38957</c:v>
                </c:pt>
                <c:pt idx="367">
                  <c:v>38958</c:v>
                </c:pt>
                <c:pt idx="368">
                  <c:v>38959</c:v>
                </c:pt>
                <c:pt idx="369">
                  <c:v>38960</c:v>
                </c:pt>
                <c:pt idx="370">
                  <c:v>38961</c:v>
                </c:pt>
                <c:pt idx="371">
                  <c:v>38965</c:v>
                </c:pt>
                <c:pt idx="372">
                  <c:v>38966</c:v>
                </c:pt>
                <c:pt idx="373">
                  <c:v>38967</c:v>
                </c:pt>
                <c:pt idx="374">
                  <c:v>38968</c:v>
                </c:pt>
                <c:pt idx="375">
                  <c:v>38971</c:v>
                </c:pt>
                <c:pt idx="376">
                  <c:v>38972</c:v>
                </c:pt>
                <c:pt idx="377">
                  <c:v>38973</c:v>
                </c:pt>
                <c:pt idx="378">
                  <c:v>38974</c:v>
                </c:pt>
                <c:pt idx="379">
                  <c:v>38975</c:v>
                </c:pt>
                <c:pt idx="380">
                  <c:v>38978</c:v>
                </c:pt>
                <c:pt idx="381">
                  <c:v>38979</c:v>
                </c:pt>
                <c:pt idx="382">
                  <c:v>38980</c:v>
                </c:pt>
                <c:pt idx="383">
                  <c:v>38981</c:v>
                </c:pt>
                <c:pt idx="384">
                  <c:v>38982</c:v>
                </c:pt>
                <c:pt idx="385">
                  <c:v>38985</c:v>
                </c:pt>
                <c:pt idx="386">
                  <c:v>38986</c:v>
                </c:pt>
                <c:pt idx="387">
                  <c:v>38987</c:v>
                </c:pt>
                <c:pt idx="388">
                  <c:v>38988</c:v>
                </c:pt>
                <c:pt idx="389">
                  <c:v>38989</c:v>
                </c:pt>
                <c:pt idx="390">
                  <c:v>38992</c:v>
                </c:pt>
                <c:pt idx="391">
                  <c:v>38993</c:v>
                </c:pt>
                <c:pt idx="392">
                  <c:v>38994</c:v>
                </c:pt>
                <c:pt idx="393">
                  <c:v>38995</c:v>
                </c:pt>
                <c:pt idx="394">
                  <c:v>38996</c:v>
                </c:pt>
                <c:pt idx="395">
                  <c:v>38999</c:v>
                </c:pt>
                <c:pt idx="396">
                  <c:v>39000</c:v>
                </c:pt>
                <c:pt idx="397">
                  <c:v>39001</c:v>
                </c:pt>
                <c:pt idx="398">
                  <c:v>39002</c:v>
                </c:pt>
                <c:pt idx="399">
                  <c:v>39003</c:v>
                </c:pt>
                <c:pt idx="400">
                  <c:v>39006</c:v>
                </c:pt>
                <c:pt idx="401">
                  <c:v>39007</c:v>
                </c:pt>
                <c:pt idx="402">
                  <c:v>39008</c:v>
                </c:pt>
                <c:pt idx="403">
                  <c:v>39009</c:v>
                </c:pt>
                <c:pt idx="404">
                  <c:v>39010</c:v>
                </c:pt>
                <c:pt idx="405">
                  <c:v>39013</c:v>
                </c:pt>
                <c:pt idx="406">
                  <c:v>39014</c:v>
                </c:pt>
                <c:pt idx="407">
                  <c:v>39015</c:v>
                </c:pt>
                <c:pt idx="408">
                  <c:v>39016</c:v>
                </c:pt>
                <c:pt idx="409">
                  <c:v>39017</c:v>
                </c:pt>
                <c:pt idx="410">
                  <c:v>39020</c:v>
                </c:pt>
                <c:pt idx="411">
                  <c:v>39021</c:v>
                </c:pt>
                <c:pt idx="412">
                  <c:v>39022</c:v>
                </c:pt>
                <c:pt idx="413">
                  <c:v>39023</c:v>
                </c:pt>
                <c:pt idx="414">
                  <c:v>39024</c:v>
                </c:pt>
                <c:pt idx="415">
                  <c:v>39027</c:v>
                </c:pt>
                <c:pt idx="416">
                  <c:v>39028</c:v>
                </c:pt>
                <c:pt idx="417">
                  <c:v>39029</c:v>
                </c:pt>
                <c:pt idx="418">
                  <c:v>39030</c:v>
                </c:pt>
                <c:pt idx="419">
                  <c:v>39031</c:v>
                </c:pt>
                <c:pt idx="420">
                  <c:v>39034</c:v>
                </c:pt>
                <c:pt idx="421">
                  <c:v>39035</c:v>
                </c:pt>
                <c:pt idx="422">
                  <c:v>39036</c:v>
                </c:pt>
                <c:pt idx="423">
                  <c:v>39037</c:v>
                </c:pt>
                <c:pt idx="424">
                  <c:v>39038</c:v>
                </c:pt>
                <c:pt idx="425">
                  <c:v>39041</c:v>
                </c:pt>
                <c:pt idx="426">
                  <c:v>39042</c:v>
                </c:pt>
                <c:pt idx="427">
                  <c:v>39043</c:v>
                </c:pt>
                <c:pt idx="428">
                  <c:v>39045</c:v>
                </c:pt>
                <c:pt idx="429">
                  <c:v>39048</c:v>
                </c:pt>
                <c:pt idx="430">
                  <c:v>39049</c:v>
                </c:pt>
                <c:pt idx="431">
                  <c:v>39050</c:v>
                </c:pt>
                <c:pt idx="432">
                  <c:v>39051</c:v>
                </c:pt>
                <c:pt idx="433">
                  <c:v>39052</c:v>
                </c:pt>
                <c:pt idx="434">
                  <c:v>39055</c:v>
                </c:pt>
                <c:pt idx="435">
                  <c:v>39056</c:v>
                </c:pt>
                <c:pt idx="436">
                  <c:v>39057</c:v>
                </c:pt>
                <c:pt idx="437">
                  <c:v>39058</c:v>
                </c:pt>
                <c:pt idx="438">
                  <c:v>39059</c:v>
                </c:pt>
                <c:pt idx="439">
                  <c:v>39062</c:v>
                </c:pt>
                <c:pt idx="440">
                  <c:v>39063</c:v>
                </c:pt>
                <c:pt idx="441">
                  <c:v>39064</c:v>
                </c:pt>
                <c:pt idx="442">
                  <c:v>39065</c:v>
                </c:pt>
                <c:pt idx="443">
                  <c:v>39066</c:v>
                </c:pt>
                <c:pt idx="444">
                  <c:v>39069</c:v>
                </c:pt>
                <c:pt idx="445">
                  <c:v>39070</c:v>
                </c:pt>
                <c:pt idx="446">
                  <c:v>39071</c:v>
                </c:pt>
                <c:pt idx="447">
                  <c:v>39072</c:v>
                </c:pt>
                <c:pt idx="448">
                  <c:v>39073</c:v>
                </c:pt>
                <c:pt idx="449">
                  <c:v>39077</c:v>
                </c:pt>
                <c:pt idx="450">
                  <c:v>39078</c:v>
                </c:pt>
                <c:pt idx="451">
                  <c:v>39079</c:v>
                </c:pt>
                <c:pt idx="452">
                  <c:v>39080</c:v>
                </c:pt>
                <c:pt idx="453">
                  <c:v>39085</c:v>
                </c:pt>
                <c:pt idx="454">
                  <c:v>39086</c:v>
                </c:pt>
                <c:pt idx="455">
                  <c:v>39087</c:v>
                </c:pt>
                <c:pt idx="456">
                  <c:v>39090</c:v>
                </c:pt>
                <c:pt idx="457">
                  <c:v>39091</c:v>
                </c:pt>
                <c:pt idx="458">
                  <c:v>39092</c:v>
                </c:pt>
                <c:pt idx="459">
                  <c:v>39093</c:v>
                </c:pt>
                <c:pt idx="460">
                  <c:v>39094</c:v>
                </c:pt>
                <c:pt idx="461">
                  <c:v>39098</c:v>
                </c:pt>
                <c:pt idx="462">
                  <c:v>39099</c:v>
                </c:pt>
                <c:pt idx="463">
                  <c:v>39100</c:v>
                </c:pt>
                <c:pt idx="464">
                  <c:v>39101</c:v>
                </c:pt>
                <c:pt idx="465">
                  <c:v>39104</c:v>
                </c:pt>
                <c:pt idx="466">
                  <c:v>39105</c:v>
                </c:pt>
                <c:pt idx="467">
                  <c:v>39106</c:v>
                </c:pt>
                <c:pt idx="468">
                  <c:v>39107</c:v>
                </c:pt>
                <c:pt idx="469">
                  <c:v>39108</c:v>
                </c:pt>
                <c:pt idx="470">
                  <c:v>39111</c:v>
                </c:pt>
                <c:pt idx="471">
                  <c:v>39112</c:v>
                </c:pt>
                <c:pt idx="472">
                  <c:v>39113</c:v>
                </c:pt>
                <c:pt idx="473">
                  <c:v>39114</c:v>
                </c:pt>
                <c:pt idx="474">
                  <c:v>39115</c:v>
                </c:pt>
                <c:pt idx="475">
                  <c:v>39118</c:v>
                </c:pt>
                <c:pt idx="476">
                  <c:v>39119</c:v>
                </c:pt>
                <c:pt idx="477">
                  <c:v>39120</c:v>
                </c:pt>
                <c:pt idx="478">
                  <c:v>39121</c:v>
                </c:pt>
                <c:pt idx="479">
                  <c:v>39122</c:v>
                </c:pt>
                <c:pt idx="480">
                  <c:v>39125</c:v>
                </c:pt>
                <c:pt idx="481">
                  <c:v>39126</c:v>
                </c:pt>
                <c:pt idx="482">
                  <c:v>39127</c:v>
                </c:pt>
                <c:pt idx="483">
                  <c:v>39128</c:v>
                </c:pt>
                <c:pt idx="484">
                  <c:v>39129</c:v>
                </c:pt>
                <c:pt idx="485">
                  <c:v>39133</c:v>
                </c:pt>
                <c:pt idx="486">
                  <c:v>39134</c:v>
                </c:pt>
                <c:pt idx="487">
                  <c:v>39135</c:v>
                </c:pt>
                <c:pt idx="488">
                  <c:v>39136</c:v>
                </c:pt>
                <c:pt idx="489">
                  <c:v>39139</c:v>
                </c:pt>
                <c:pt idx="490">
                  <c:v>39140</c:v>
                </c:pt>
                <c:pt idx="491">
                  <c:v>39141</c:v>
                </c:pt>
                <c:pt idx="492">
                  <c:v>39142</c:v>
                </c:pt>
                <c:pt idx="493">
                  <c:v>39143</c:v>
                </c:pt>
                <c:pt idx="494">
                  <c:v>39146</c:v>
                </c:pt>
                <c:pt idx="495">
                  <c:v>39147</c:v>
                </c:pt>
                <c:pt idx="496">
                  <c:v>39148</c:v>
                </c:pt>
                <c:pt idx="497">
                  <c:v>39149</c:v>
                </c:pt>
                <c:pt idx="498">
                  <c:v>39150</c:v>
                </c:pt>
                <c:pt idx="499">
                  <c:v>39153</c:v>
                </c:pt>
                <c:pt idx="500">
                  <c:v>39154</c:v>
                </c:pt>
                <c:pt idx="501">
                  <c:v>39155</c:v>
                </c:pt>
                <c:pt idx="502">
                  <c:v>39156</c:v>
                </c:pt>
                <c:pt idx="503">
                  <c:v>39157</c:v>
                </c:pt>
                <c:pt idx="504">
                  <c:v>39160</c:v>
                </c:pt>
                <c:pt idx="505">
                  <c:v>39161</c:v>
                </c:pt>
                <c:pt idx="506">
                  <c:v>39162</c:v>
                </c:pt>
                <c:pt idx="507">
                  <c:v>39163</c:v>
                </c:pt>
                <c:pt idx="508">
                  <c:v>39164</c:v>
                </c:pt>
                <c:pt idx="509">
                  <c:v>39167</c:v>
                </c:pt>
                <c:pt idx="510">
                  <c:v>39168</c:v>
                </c:pt>
                <c:pt idx="511">
                  <c:v>39169</c:v>
                </c:pt>
                <c:pt idx="512">
                  <c:v>39170</c:v>
                </c:pt>
                <c:pt idx="513">
                  <c:v>39171</c:v>
                </c:pt>
                <c:pt idx="514">
                  <c:v>39174</c:v>
                </c:pt>
                <c:pt idx="515">
                  <c:v>39175</c:v>
                </c:pt>
                <c:pt idx="516">
                  <c:v>39176</c:v>
                </c:pt>
                <c:pt idx="517">
                  <c:v>39177</c:v>
                </c:pt>
                <c:pt idx="518">
                  <c:v>39181</c:v>
                </c:pt>
                <c:pt idx="519">
                  <c:v>39182</c:v>
                </c:pt>
                <c:pt idx="520">
                  <c:v>39183</c:v>
                </c:pt>
                <c:pt idx="521">
                  <c:v>39184</c:v>
                </c:pt>
                <c:pt idx="522">
                  <c:v>39185</c:v>
                </c:pt>
                <c:pt idx="523">
                  <c:v>39188</c:v>
                </c:pt>
                <c:pt idx="524">
                  <c:v>39189</c:v>
                </c:pt>
                <c:pt idx="525">
                  <c:v>39190</c:v>
                </c:pt>
                <c:pt idx="526">
                  <c:v>39191</c:v>
                </c:pt>
                <c:pt idx="527">
                  <c:v>39192</c:v>
                </c:pt>
                <c:pt idx="528">
                  <c:v>39195</c:v>
                </c:pt>
                <c:pt idx="529">
                  <c:v>39196</c:v>
                </c:pt>
                <c:pt idx="530">
                  <c:v>39197</c:v>
                </c:pt>
                <c:pt idx="531">
                  <c:v>39198</c:v>
                </c:pt>
                <c:pt idx="532">
                  <c:v>39199</c:v>
                </c:pt>
                <c:pt idx="533">
                  <c:v>39202</c:v>
                </c:pt>
                <c:pt idx="534">
                  <c:v>39203</c:v>
                </c:pt>
                <c:pt idx="535">
                  <c:v>39204</c:v>
                </c:pt>
                <c:pt idx="536">
                  <c:v>39205</c:v>
                </c:pt>
                <c:pt idx="537">
                  <c:v>39206</c:v>
                </c:pt>
                <c:pt idx="538">
                  <c:v>39209</c:v>
                </c:pt>
                <c:pt idx="539">
                  <c:v>39210</c:v>
                </c:pt>
                <c:pt idx="540">
                  <c:v>39211</c:v>
                </c:pt>
                <c:pt idx="541">
                  <c:v>39212</c:v>
                </c:pt>
                <c:pt idx="542">
                  <c:v>39213</c:v>
                </c:pt>
                <c:pt idx="543">
                  <c:v>39216</c:v>
                </c:pt>
                <c:pt idx="544">
                  <c:v>39217</c:v>
                </c:pt>
                <c:pt idx="545">
                  <c:v>39218</c:v>
                </c:pt>
                <c:pt idx="546">
                  <c:v>39219</c:v>
                </c:pt>
                <c:pt idx="547">
                  <c:v>39220</c:v>
                </c:pt>
                <c:pt idx="548">
                  <c:v>39223</c:v>
                </c:pt>
                <c:pt idx="549">
                  <c:v>39224</c:v>
                </c:pt>
                <c:pt idx="550">
                  <c:v>39225</c:v>
                </c:pt>
                <c:pt idx="551">
                  <c:v>39226</c:v>
                </c:pt>
                <c:pt idx="552">
                  <c:v>39227</c:v>
                </c:pt>
                <c:pt idx="553">
                  <c:v>39231</c:v>
                </c:pt>
                <c:pt idx="554">
                  <c:v>39232</c:v>
                </c:pt>
                <c:pt idx="555">
                  <c:v>39233</c:v>
                </c:pt>
                <c:pt idx="556">
                  <c:v>39234</c:v>
                </c:pt>
                <c:pt idx="557">
                  <c:v>39237</c:v>
                </c:pt>
                <c:pt idx="558">
                  <c:v>39238</c:v>
                </c:pt>
                <c:pt idx="559">
                  <c:v>39239</c:v>
                </c:pt>
                <c:pt idx="560">
                  <c:v>39240</c:v>
                </c:pt>
                <c:pt idx="561">
                  <c:v>39241</c:v>
                </c:pt>
                <c:pt idx="562">
                  <c:v>39244</c:v>
                </c:pt>
                <c:pt idx="563">
                  <c:v>39245</c:v>
                </c:pt>
                <c:pt idx="564">
                  <c:v>39246</c:v>
                </c:pt>
                <c:pt idx="565">
                  <c:v>39247</c:v>
                </c:pt>
                <c:pt idx="566">
                  <c:v>39248</c:v>
                </c:pt>
                <c:pt idx="567">
                  <c:v>39251</c:v>
                </c:pt>
                <c:pt idx="568">
                  <c:v>39252</c:v>
                </c:pt>
                <c:pt idx="569">
                  <c:v>39253</c:v>
                </c:pt>
                <c:pt idx="570">
                  <c:v>39254</c:v>
                </c:pt>
                <c:pt idx="571">
                  <c:v>39255</c:v>
                </c:pt>
                <c:pt idx="572">
                  <c:v>39258</c:v>
                </c:pt>
                <c:pt idx="573">
                  <c:v>39259</c:v>
                </c:pt>
                <c:pt idx="574">
                  <c:v>39260</c:v>
                </c:pt>
                <c:pt idx="575">
                  <c:v>39261</c:v>
                </c:pt>
                <c:pt idx="576">
                  <c:v>39262</c:v>
                </c:pt>
                <c:pt idx="577">
                  <c:v>39265</c:v>
                </c:pt>
                <c:pt idx="578">
                  <c:v>39266</c:v>
                </c:pt>
                <c:pt idx="579">
                  <c:v>39268</c:v>
                </c:pt>
                <c:pt idx="580">
                  <c:v>39269</c:v>
                </c:pt>
                <c:pt idx="581">
                  <c:v>39272</c:v>
                </c:pt>
                <c:pt idx="582">
                  <c:v>39273</c:v>
                </c:pt>
                <c:pt idx="583">
                  <c:v>39274</c:v>
                </c:pt>
                <c:pt idx="584">
                  <c:v>39275</c:v>
                </c:pt>
                <c:pt idx="585">
                  <c:v>39276</c:v>
                </c:pt>
                <c:pt idx="586">
                  <c:v>39279</c:v>
                </c:pt>
                <c:pt idx="587">
                  <c:v>39280</c:v>
                </c:pt>
                <c:pt idx="588">
                  <c:v>39281</c:v>
                </c:pt>
                <c:pt idx="589">
                  <c:v>39282</c:v>
                </c:pt>
                <c:pt idx="590">
                  <c:v>39283</c:v>
                </c:pt>
                <c:pt idx="591">
                  <c:v>39286</c:v>
                </c:pt>
                <c:pt idx="592">
                  <c:v>39287</c:v>
                </c:pt>
                <c:pt idx="593">
                  <c:v>39288</c:v>
                </c:pt>
                <c:pt idx="594">
                  <c:v>39289</c:v>
                </c:pt>
                <c:pt idx="595">
                  <c:v>39290</c:v>
                </c:pt>
                <c:pt idx="596">
                  <c:v>39293</c:v>
                </c:pt>
                <c:pt idx="597">
                  <c:v>39294</c:v>
                </c:pt>
                <c:pt idx="598">
                  <c:v>39295</c:v>
                </c:pt>
                <c:pt idx="599">
                  <c:v>39296</c:v>
                </c:pt>
                <c:pt idx="600">
                  <c:v>39297</c:v>
                </c:pt>
                <c:pt idx="601">
                  <c:v>39300</c:v>
                </c:pt>
                <c:pt idx="602">
                  <c:v>39301</c:v>
                </c:pt>
                <c:pt idx="603">
                  <c:v>39302</c:v>
                </c:pt>
                <c:pt idx="604">
                  <c:v>39303</c:v>
                </c:pt>
                <c:pt idx="605">
                  <c:v>39304</c:v>
                </c:pt>
                <c:pt idx="606">
                  <c:v>39307</c:v>
                </c:pt>
                <c:pt idx="607">
                  <c:v>39308</c:v>
                </c:pt>
                <c:pt idx="608">
                  <c:v>39309</c:v>
                </c:pt>
                <c:pt idx="609">
                  <c:v>39310</c:v>
                </c:pt>
                <c:pt idx="610">
                  <c:v>39311</c:v>
                </c:pt>
                <c:pt idx="611">
                  <c:v>39314</c:v>
                </c:pt>
                <c:pt idx="612">
                  <c:v>39315</c:v>
                </c:pt>
                <c:pt idx="613">
                  <c:v>39316</c:v>
                </c:pt>
                <c:pt idx="614">
                  <c:v>39317</c:v>
                </c:pt>
                <c:pt idx="615">
                  <c:v>39318</c:v>
                </c:pt>
                <c:pt idx="616">
                  <c:v>39321</c:v>
                </c:pt>
                <c:pt idx="617">
                  <c:v>39322</c:v>
                </c:pt>
                <c:pt idx="618">
                  <c:v>39323</c:v>
                </c:pt>
                <c:pt idx="619">
                  <c:v>39324</c:v>
                </c:pt>
                <c:pt idx="620">
                  <c:v>39325</c:v>
                </c:pt>
                <c:pt idx="621">
                  <c:v>39329</c:v>
                </c:pt>
                <c:pt idx="622">
                  <c:v>39330</c:v>
                </c:pt>
                <c:pt idx="623">
                  <c:v>39331</c:v>
                </c:pt>
                <c:pt idx="624">
                  <c:v>39332</c:v>
                </c:pt>
                <c:pt idx="625">
                  <c:v>39335</c:v>
                </c:pt>
                <c:pt idx="626">
                  <c:v>39336</c:v>
                </c:pt>
                <c:pt idx="627">
                  <c:v>39337</c:v>
                </c:pt>
                <c:pt idx="628">
                  <c:v>39338</c:v>
                </c:pt>
                <c:pt idx="629">
                  <c:v>39339</c:v>
                </c:pt>
                <c:pt idx="630">
                  <c:v>39342</c:v>
                </c:pt>
                <c:pt idx="631">
                  <c:v>39343</c:v>
                </c:pt>
                <c:pt idx="632">
                  <c:v>39344</c:v>
                </c:pt>
                <c:pt idx="633">
                  <c:v>39345</c:v>
                </c:pt>
                <c:pt idx="634">
                  <c:v>39346</c:v>
                </c:pt>
                <c:pt idx="635">
                  <c:v>39349</c:v>
                </c:pt>
                <c:pt idx="636">
                  <c:v>39350</c:v>
                </c:pt>
                <c:pt idx="637">
                  <c:v>39351</c:v>
                </c:pt>
                <c:pt idx="638">
                  <c:v>39352</c:v>
                </c:pt>
                <c:pt idx="639">
                  <c:v>39353</c:v>
                </c:pt>
                <c:pt idx="640">
                  <c:v>39356</c:v>
                </c:pt>
                <c:pt idx="641">
                  <c:v>39357</c:v>
                </c:pt>
                <c:pt idx="642">
                  <c:v>39358</c:v>
                </c:pt>
                <c:pt idx="643">
                  <c:v>39359</c:v>
                </c:pt>
                <c:pt idx="644">
                  <c:v>39360</c:v>
                </c:pt>
                <c:pt idx="645">
                  <c:v>39363</c:v>
                </c:pt>
                <c:pt idx="646">
                  <c:v>39364</c:v>
                </c:pt>
                <c:pt idx="647">
                  <c:v>39365</c:v>
                </c:pt>
                <c:pt idx="648">
                  <c:v>39366</c:v>
                </c:pt>
                <c:pt idx="649">
                  <c:v>39367</c:v>
                </c:pt>
                <c:pt idx="650">
                  <c:v>39370</c:v>
                </c:pt>
                <c:pt idx="651">
                  <c:v>39371</c:v>
                </c:pt>
                <c:pt idx="652">
                  <c:v>39372</c:v>
                </c:pt>
                <c:pt idx="653">
                  <c:v>39373</c:v>
                </c:pt>
                <c:pt idx="654">
                  <c:v>39374</c:v>
                </c:pt>
                <c:pt idx="655">
                  <c:v>39377</c:v>
                </c:pt>
                <c:pt idx="656">
                  <c:v>39378</c:v>
                </c:pt>
                <c:pt idx="657">
                  <c:v>39379</c:v>
                </c:pt>
                <c:pt idx="658">
                  <c:v>39380</c:v>
                </c:pt>
                <c:pt idx="659">
                  <c:v>39381</c:v>
                </c:pt>
                <c:pt idx="660">
                  <c:v>39384</c:v>
                </c:pt>
                <c:pt idx="661">
                  <c:v>39385</c:v>
                </c:pt>
                <c:pt idx="662">
                  <c:v>39386</c:v>
                </c:pt>
                <c:pt idx="663">
                  <c:v>39387</c:v>
                </c:pt>
                <c:pt idx="664">
                  <c:v>39388</c:v>
                </c:pt>
                <c:pt idx="665">
                  <c:v>39391</c:v>
                </c:pt>
                <c:pt idx="666">
                  <c:v>39392</c:v>
                </c:pt>
                <c:pt idx="667">
                  <c:v>39393</c:v>
                </c:pt>
                <c:pt idx="668">
                  <c:v>39394</c:v>
                </c:pt>
                <c:pt idx="669">
                  <c:v>39395</c:v>
                </c:pt>
                <c:pt idx="670">
                  <c:v>39398</c:v>
                </c:pt>
                <c:pt idx="671">
                  <c:v>39399</c:v>
                </c:pt>
                <c:pt idx="672">
                  <c:v>39400</c:v>
                </c:pt>
                <c:pt idx="673">
                  <c:v>39401</c:v>
                </c:pt>
                <c:pt idx="674">
                  <c:v>39402</c:v>
                </c:pt>
                <c:pt idx="675">
                  <c:v>39405</c:v>
                </c:pt>
                <c:pt idx="676">
                  <c:v>39406</c:v>
                </c:pt>
                <c:pt idx="677">
                  <c:v>39407</c:v>
                </c:pt>
                <c:pt idx="678">
                  <c:v>39409</c:v>
                </c:pt>
                <c:pt idx="679">
                  <c:v>39412</c:v>
                </c:pt>
                <c:pt idx="680">
                  <c:v>39413</c:v>
                </c:pt>
                <c:pt idx="681">
                  <c:v>39414</c:v>
                </c:pt>
                <c:pt idx="682">
                  <c:v>39415</c:v>
                </c:pt>
                <c:pt idx="683">
                  <c:v>39416</c:v>
                </c:pt>
                <c:pt idx="684">
                  <c:v>39419</c:v>
                </c:pt>
                <c:pt idx="685">
                  <c:v>39420</c:v>
                </c:pt>
                <c:pt idx="686">
                  <c:v>39421</c:v>
                </c:pt>
                <c:pt idx="687">
                  <c:v>39422</c:v>
                </c:pt>
                <c:pt idx="688">
                  <c:v>39423</c:v>
                </c:pt>
                <c:pt idx="689">
                  <c:v>39426</c:v>
                </c:pt>
                <c:pt idx="690">
                  <c:v>39427</c:v>
                </c:pt>
                <c:pt idx="691">
                  <c:v>39428</c:v>
                </c:pt>
                <c:pt idx="692">
                  <c:v>39429</c:v>
                </c:pt>
                <c:pt idx="693">
                  <c:v>39430</c:v>
                </c:pt>
                <c:pt idx="694">
                  <c:v>39433</c:v>
                </c:pt>
                <c:pt idx="695">
                  <c:v>39434</c:v>
                </c:pt>
                <c:pt idx="696">
                  <c:v>39435</c:v>
                </c:pt>
                <c:pt idx="697">
                  <c:v>39436</c:v>
                </c:pt>
                <c:pt idx="698">
                  <c:v>39437</c:v>
                </c:pt>
                <c:pt idx="699">
                  <c:v>39440</c:v>
                </c:pt>
                <c:pt idx="700">
                  <c:v>39442</c:v>
                </c:pt>
                <c:pt idx="701">
                  <c:v>39443</c:v>
                </c:pt>
                <c:pt idx="702">
                  <c:v>39444</c:v>
                </c:pt>
                <c:pt idx="703">
                  <c:v>39447</c:v>
                </c:pt>
                <c:pt idx="704">
                  <c:v>39449</c:v>
                </c:pt>
                <c:pt idx="705">
                  <c:v>39450</c:v>
                </c:pt>
                <c:pt idx="706">
                  <c:v>39451</c:v>
                </c:pt>
                <c:pt idx="707">
                  <c:v>39454</c:v>
                </c:pt>
                <c:pt idx="708">
                  <c:v>39455</c:v>
                </c:pt>
                <c:pt idx="709">
                  <c:v>39456</c:v>
                </c:pt>
                <c:pt idx="710">
                  <c:v>39457</c:v>
                </c:pt>
                <c:pt idx="711">
                  <c:v>39458</c:v>
                </c:pt>
                <c:pt idx="712">
                  <c:v>39461</c:v>
                </c:pt>
                <c:pt idx="713">
                  <c:v>39462</c:v>
                </c:pt>
                <c:pt idx="714">
                  <c:v>39463</c:v>
                </c:pt>
                <c:pt idx="715">
                  <c:v>39464</c:v>
                </c:pt>
                <c:pt idx="716">
                  <c:v>39465</c:v>
                </c:pt>
                <c:pt idx="717">
                  <c:v>39469</c:v>
                </c:pt>
                <c:pt idx="718">
                  <c:v>39470</c:v>
                </c:pt>
                <c:pt idx="719">
                  <c:v>39471</c:v>
                </c:pt>
                <c:pt idx="720">
                  <c:v>39472</c:v>
                </c:pt>
                <c:pt idx="721">
                  <c:v>39475</c:v>
                </c:pt>
                <c:pt idx="722">
                  <c:v>39476</c:v>
                </c:pt>
                <c:pt idx="723">
                  <c:v>39477</c:v>
                </c:pt>
                <c:pt idx="724">
                  <c:v>39478</c:v>
                </c:pt>
                <c:pt idx="725">
                  <c:v>39479</c:v>
                </c:pt>
                <c:pt idx="726">
                  <c:v>39482</c:v>
                </c:pt>
                <c:pt idx="727">
                  <c:v>39483</c:v>
                </c:pt>
                <c:pt idx="728">
                  <c:v>39484</c:v>
                </c:pt>
                <c:pt idx="729">
                  <c:v>39485</c:v>
                </c:pt>
                <c:pt idx="730">
                  <c:v>39486</c:v>
                </c:pt>
                <c:pt idx="731">
                  <c:v>39489</c:v>
                </c:pt>
                <c:pt idx="732">
                  <c:v>39490</c:v>
                </c:pt>
                <c:pt idx="733">
                  <c:v>39491</c:v>
                </c:pt>
                <c:pt idx="734">
                  <c:v>39492</c:v>
                </c:pt>
                <c:pt idx="735">
                  <c:v>39493</c:v>
                </c:pt>
                <c:pt idx="736">
                  <c:v>39497</c:v>
                </c:pt>
                <c:pt idx="737">
                  <c:v>39498</c:v>
                </c:pt>
                <c:pt idx="738">
                  <c:v>39499</c:v>
                </c:pt>
                <c:pt idx="739">
                  <c:v>39500</c:v>
                </c:pt>
                <c:pt idx="740">
                  <c:v>39503</c:v>
                </c:pt>
                <c:pt idx="741">
                  <c:v>39504</c:v>
                </c:pt>
                <c:pt idx="742">
                  <c:v>39505</c:v>
                </c:pt>
                <c:pt idx="743">
                  <c:v>39506</c:v>
                </c:pt>
                <c:pt idx="744">
                  <c:v>39507</c:v>
                </c:pt>
                <c:pt idx="745">
                  <c:v>39510</c:v>
                </c:pt>
                <c:pt idx="746">
                  <c:v>39511</c:v>
                </c:pt>
                <c:pt idx="747">
                  <c:v>39512</c:v>
                </c:pt>
                <c:pt idx="748">
                  <c:v>39513</c:v>
                </c:pt>
                <c:pt idx="749">
                  <c:v>39514</c:v>
                </c:pt>
                <c:pt idx="750">
                  <c:v>39517</c:v>
                </c:pt>
                <c:pt idx="751">
                  <c:v>39518</c:v>
                </c:pt>
                <c:pt idx="752">
                  <c:v>39519</c:v>
                </c:pt>
                <c:pt idx="753">
                  <c:v>39520</c:v>
                </c:pt>
                <c:pt idx="754">
                  <c:v>39521</c:v>
                </c:pt>
                <c:pt idx="755">
                  <c:v>39524</c:v>
                </c:pt>
                <c:pt idx="756">
                  <c:v>39525</c:v>
                </c:pt>
                <c:pt idx="757">
                  <c:v>39526</c:v>
                </c:pt>
                <c:pt idx="758">
                  <c:v>39527</c:v>
                </c:pt>
                <c:pt idx="759">
                  <c:v>39531</c:v>
                </c:pt>
                <c:pt idx="760">
                  <c:v>39532</c:v>
                </c:pt>
                <c:pt idx="761">
                  <c:v>39533</c:v>
                </c:pt>
                <c:pt idx="762">
                  <c:v>39534</c:v>
                </c:pt>
                <c:pt idx="763">
                  <c:v>39535</c:v>
                </c:pt>
                <c:pt idx="764">
                  <c:v>39538</c:v>
                </c:pt>
                <c:pt idx="765">
                  <c:v>39539</c:v>
                </c:pt>
                <c:pt idx="766">
                  <c:v>39540</c:v>
                </c:pt>
                <c:pt idx="767">
                  <c:v>39541</c:v>
                </c:pt>
                <c:pt idx="768">
                  <c:v>39542</c:v>
                </c:pt>
                <c:pt idx="769">
                  <c:v>39545</c:v>
                </c:pt>
                <c:pt idx="770">
                  <c:v>39546</c:v>
                </c:pt>
                <c:pt idx="771">
                  <c:v>39547</c:v>
                </c:pt>
                <c:pt idx="772">
                  <c:v>39548</c:v>
                </c:pt>
                <c:pt idx="773">
                  <c:v>39549</c:v>
                </c:pt>
                <c:pt idx="774">
                  <c:v>39552</c:v>
                </c:pt>
                <c:pt idx="775">
                  <c:v>39553</c:v>
                </c:pt>
                <c:pt idx="776">
                  <c:v>39554</c:v>
                </c:pt>
                <c:pt idx="777">
                  <c:v>39555</c:v>
                </c:pt>
                <c:pt idx="778">
                  <c:v>39556</c:v>
                </c:pt>
                <c:pt idx="779">
                  <c:v>39559</c:v>
                </c:pt>
                <c:pt idx="780">
                  <c:v>39560</c:v>
                </c:pt>
                <c:pt idx="781">
                  <c:v>39561</c:v>
                </c:pt>
                <c:pt idx="782">
                  <c:v>39562</c:v>
                </c:pt>
                <c:pt idx="783">
                  <c:v>39563</c:v>
                </c:pt>
                <c:pt idx="784">
                  <c:v>39566</c:v>
                </c:pt>
                <c:pt idx="785">
                  <c:v>39567</c:v>
                </c:pt>
                <c:pt idx="786">
                  <c:v>39568</c:v>
                </c:pt>
                <c:pt idx="787">
                  <c:v>39569</c:v>
                </c:pt>
                <c:pt idx="788">
                  <c:v>39570</c:v>
                </c:pt>
                <c:pt idx="789">
                  <c:v>39573</c:v>
                </c:pt>
                <c:pt idx="790">
                  <c:v>39574</c:v>
                </c:pt>
                <c:pt idx="791">
                  <c:v>39575</c:v>
                </c:pt>
                <c:pt idx="792">
                  <c:v>39576</c:v>
                </c:pt>
                <c:pt idx="793">
                  <c:v>39577</c:v>
                </c:pt>
                <c:pt idx="794">
                  <c:v>39580</c:v>
                </c:pt>
                <c:pt idx="795">
                  <c:v>39581</c:v>
                </c:pt>
                <c:pt idx="796">
                  <c:v>39582</c:v>
                </c:pt>
                <c:pt idx="797">
                  <c:v>39583</c:v>
                </c:pt>
                <c:pt idx="798">
                  <c:v>39584</c:v>
                </c:pt>
                <c:pt idx="799">
                  <c:v>39587</c:v>
                </c:pt>
                <c:pt idx="800">
                  <c:v>39588</c:v>
                </c:pt>
                <c:pt idx="801">
                  <c:v>39589</c:v>
                </c:pt>
                <c:pt idx="802">
                  <c:v>39590</c:v>
                </c:pt>
                <c:pt idx="803">
                  <c:v>39591</c:v>
                </c:pt>
                <c:pt idx="804">
                  <c:v>39595</c:v>
                </c:pt>
                <c:pt idx="805">
                  <c:v>39596</c:v>
                </c:pt>
                <c:pt idx="806">
                  <c:v>39597</c:v>
                </c:pt>
                <c:pt idx="807">
                  <c:v>39598</c:v>
                </c:pt>
                <c:pt idx="808">
                  <c:v>39601</c:v>
                </c:pt>
                <c:pt idx="809">
                  <c:v>39602</c:v>
                </c:pt>
                <c:pt idx="810">
                  <c:v>39603</c:v>
                </c:pt>
                <c:pt idx="811">
                  <c:v>39604</c:v>
                </c:pt>
                <c:pt idx="812">
                  <c:v>39605</c:v>
                </c:pt>
                <c:pt idx="813">
                  <c:v>39608</c:v>
                </c:pt>
                <c:pt idx="814">
                  <c:v>39609</c:v>
                </c:pt>
                <c:pt idx="815">
                  <c:v>39610</c:v>
                </c:pt>
                <c:pt idx="816">
                  <c:v>39611</c:v>
                </c:pt>
                <c:pt idx="817">
                  <c:v>39612</c:v>
                </c:pt>
                <c:pt idx="818">
                  <c:v>39615</c:v>
                </c:pt>
                <c:pt idx="819">
                  <c:v>39616</c:v>
                </c:pt>
                <c:pt idx="820">
                  <c:v>39617</c:v>
                </c:pt>
                <c:pt idx="821">
                  <c:v>39618</c:v>
                </c:pt>
                <c:pt idx="822">
                  <c:v>39619</c:v>
                </c:pt>
                <c:pt idx="823">
                  <c:v>39622</c:v>
                </c:pt>
                <c:pt idx="824">
                  <c:v>39623</c:v>
                </c:pt>
                <c:pt idx="825">
                  <c:v>39624</c:v>
                </c:pt>
                <c:pt idx="826">
                  <c:v>39625</c:v>
                </c:pt>
                <c:pt idx="827">
                  <c:v>39626</c:v>
                </c:pt>
                <c:pt idx="828">
                  <c:v>39629</c:v>
                </c:pt>
                <c:pt idx="829">
                  <c:v>39630</c:v>
                </c:pt>
                <c:pt idx="830">
                  <c:v>39631</c:v>
                </c:pt>
                <c:pt idx="831">
                  <c:v>39632</c:v>
                </c:pt>
                <c:pt idx="832">
                  <c:v>39636</c:v>
                </c:pt>
                <c:pt idx="833">
                  <c:v>39637</c:v>
                </c:pt>
                <c:pt idx="834">
                  <c:v>39638</c:v>
                </c:pt>
                <c:pt idx="835">
                  <c:v>39639</c:v>
                </c:pt>
                <c:pt idx="836">
                  <c:v>39640</c:v>
                </c:pt>
                <c:pt idx="837">
                  <c:v>39643</c:v>
                </c:pt>
                <c:pt idx="838">
                  <c:v>39644</c:v>
                </c:pt>
                <c:pt idx="839">
                  <c:v>39645</c:v>
                </c:pt>
              </c:numCache>
            </c:numRef>
          </c:cat>
          <c:val>
            <c:numRef>
              <c:f>Volatility!$B$61:$B$900</c:f>
              <c:numCache>
                <c:formatCode>General</c:formatCode>
                <c:ptCount val="840"/>
                <c:pt idx="0">
                  <c:v>41.18</c:v>
                </c:pt>
                <c:pt idx="1">
                  <c:v>42.25</c:v>
                </c:pt>
                <c:pt idx="2">
                  <c:v>42.96</c:v>
                </c:pt>
                <c:pt idx="3">
                  <c:v>43.7</c:v>
                </c:pt>
                <c:pt idx="4">
                  <c:v>42.83</c:v>
                </c:pt>
                <c:pt idx="5">
                  <c:v>42.55</c:v>
                </c:pt>
                <c:pt idx="6">
                  <c:v>42.5</c:v>
                </c:pt>
                <c:pt idx="7">
                  <c:v>42.53</c:v>
                </c:pt>
                <c:pt idx="8">
                  <c:v>41.75</c:v>
                </c:pt>
                <c:pt idx="9">
                  <c:v>42.8</c:v>
                </c:pt>
                <c:pt idx="10">
                  <c:v>41.67</c:v>
                </c:pt>
                <c:pt idx="11">
                  <c:v>40.89</c:v>
                </c:pt>
                <c:pt idx="12">
                  <c:v>41.09</c:v>
                </c:pt>
                <c:pt idx="13">
                  <c:v>41.89</c:v>
                </c:pt>
                <c:pt idx="14">
                  <c:v>42.33</c:v>
                </c:pt>
                <c:pt idx="15">
                  <c:v>43.56</c:v>
                </c:pt>
                <c:pt idx="16">
                  <c:v>43.74</c:v>
                </c:pt>
                <c:pt idx="17">
                  <c:v>41.92</c:v>
                </c:pt>
                <c:pt idx="18">
                  <c:v>42.66</c:v>
                </c:pt>
                <c:pt idx="19">
                  <c:v>41.04</c:v>
                </c:pt>
                <c:pt idx="20">
                  <c:v>37.26</c:v>
                </c:pt>
                <c:pt idx="21">
                  <c:v>35.35</c:v>
                </c:pt>
                <c:pt idx="22">
                  <c:v>35.619999999999997</c:v>
                </c:pt>
                <c:pt idx="23">
                  <c:v>37.090000000000003</c:v>
                </c:pt>
                <c:pt idx="24">
                  <c:v>35.51</c:v>
                </c:pt>
                <c:pt idx="25">
                  <c:v>37.18</c:v>
                </c:pt>
                <c:pt idx="26">
                  <c:v>35.5</c:v>
                </c:pt>
                <c:pt idx="27">
                  <c:v>36.979999999999997</c:v>
                </c:pt>
                <c:pt idx="28">
                  <c:v>36.19</c:v>
                </c:pt>
                <c:pt idx="29">
                  <c:v>35.950000000000003</c:v>
                </c:pt>
                <c:pt idx="30">
                  <c:v>35.54</c:v>
                </c:pt>
                <c:pt idx="31">
                  <c:v>36.06</c:v>
                </c:pt>
                <c:pt idx="32">
                  <c:v>36.43</c:v>
                </c:pt>
                <c:pt idx="33">
                  <c:v>36.21</c:v>
                </c:pt>
                <c:pt idx="34">
                  <c:v>37.15</c:v>
                </c:pt>
                <c:pt idx="35">
                  <c:v>36.68</c:v>
                </c:pt>
                <c:pt idx="36">
                  <c:v>37.24</c:v>
                </c:pt>
                <c:pt idx="37">
                  <c:v>36.97</c:v>
                </c:pt>
                <c:pt idx="38">
                  <c:v>36.42</c:v>
                </c:pt>
                <c:pt idx="39">
                  <c:v>35.61</c:v>
                </c:pt>
                <c:pt idx="40">
                  <c:v>34.130000000000003</c:v>
                </c:pt>
                <c:pt idx="41">
                  <c:v>34.770000000000003</c:v>
                </c:pt>
                <c:pt idx="42">
                  <c:v>35.549999999999997</c:v>
                </c:pt>
                <c:pt idx="43">
                  <c:v>35.36</c:v>
                </c:pt>
                <c:pt idx="44">
                  <c:v>35.840000000000003</c:v>
                </c:pt>
                <c:pt idx="45">
                  <c:v>37.549999999999997</c:v>
                </c:pt>
                <c:pt idx="46">
                  <c:v>37.549999999999997</c:v>
                </c:pt>
                <c:pt idx="47">
                  <c:v>39.76</c:v>
                </c:pt>
                <c:pt idx="48">
                  <c:v>39.700000000000003</c:v>
                </c:pt>
                <c:pt idx="49">
                  <c:v>39.78</c:v>
                </c:pt>
                <c:pt idx="50">
                  <c:v>40.74</c:v>
                </c:pt>
                <c:pt idx="51">
                  <c:v>40.56</c:v>
                </c:pt>
                <c:pt idx="52">
                  <c:v>39.76</c:v>
                </c:pt>
                <c:pt idx="53">
                  <c:v>40.299999999999997</c:v>
                </c:pt>
                <c:pt idx="54">
                  <c:v>40.04</c:v>
                </c:pt>
                <c:pt idx="55">
                  <c:v>38.24</c:v>
                </c:pt>
                <c:pt idx="56">
                  <c:v>37.92</c:v>
                </c:pt>
                <c:pt idx="57">
                  <c:v>36.54</c:v>
                </c:pt>
                <c:pt idx="58">
                  <c:v>36.92</c:v>
                </c:pt>
                <c:pt idx="59">
                  <c:v>37.65</c:v>
                </c:pt>
                <c:pt idx="60">
                  <c:v>35.81</c:v>
                </c:pt>
                <c:pt idx="61">
                  <c:v>35.9</c:v>
                </c:pt>
                <c:pt idx="62">
                  <c:v>36</c:v>
                </c:pt>
                <c:pt idx="63">
                  <c:v>37.130000000000003</c:v>
                </c:pt>
                <c:pt idx="64">
                  <c:v>37.979999999999997</c:v>
                </c:pt>
                <c:pt idx="65">
                  <c:v>38.31</c:v>
                </c:pt>
                <c:pt idx="66">
                  <c:v>37.61</c:v>
                </c:pt>
                <c:pt idx="67">
                  <c:v>37.86</c:v>
                </c:pt>
                <c:pt idx="68">
                  <c:v>38.549999999999997</c:v>
                </c:pt>
                <c:pt idx="69">
                  <c:v>38.89</c:v>
                </c:pt>
                <c:pt idx="70">
                  <c:v>37.76</c:v>
                </c:pt>
                <c:pt idx="71">
                  <c:v>37.1</c:v>
                </c:pt>
                <c:pt idx="72">
                  <c:v>37.31</c:v>
                </c:pt>
                <c:pt idx="73">
                  <c:v>36.369999999999997</c:v>
                </c:pt>
                <c:pt idx="74">
                  <c:v>36.81</c:v>
                </c:pt>
                <c:pt idx="75">
                  <c:v>36.5</c:v>
                </c:pt>
                <c:pt idx="76">
                  <c:v>37.979999999999997</c:v>
                </c:pt>
                <c:pt idx="77">
                  <c:v>37.39</c:v>
                </c:pt>
                <c:pt idx="78">
                  <c:v>37.630000000000003</c:v>
                </c:pt>
                <c:pt idx="79">
                  <c:v>38.25</c:v>
                </c:pt>
                <c:pt idx="80">
                  <c:v>38.1</c:v>
                </c:pt>
                <c:pt idx="81">
                  <c:v>38.24</c:v>
                </c:pt>
                <c:pt idx="82">
                  <c:v>38.35</c:v>
                </c:pt>
                <c:pt idx="83">
                  <c:v>40.75</c:v>
                </c:pt>
                <c:pt idx="84">
                  <c:v>41.55</c:v>
                </c:pt>
                <c:pt idx="85">
                  <c:v>41.49</c:v>
                </c:pt>
                <c:pt idx="86">
                  <c:v>43.19</c:v>
                </c:pt>
                <c:pt idx="87">
                  <c:v>43.63</c:v>
                </c:pt>
                <c:pt idx="88">
                  <c:v>43.29</c:v>
                </c:pt>
                <c:pt idx="89">
                  <c:v>44</c:v>
                </c:pt>
                <c:pt idx="90">
                  <c:v>43.81</c:v>
                </c:pt>
                <c:pt idx="91">
                  <c:v>43.63</c:v>
                </c:pt>
                <c:pt idx="92">
                  <c:v>43.99</c:v>
                </c:pt>
                <c:pt idx="93">
                  <c:v>43.8</c:v>
                </c:pt>
                <c:pt idx="94">
                  <c:v>42.65</c:v>
                </c:pt>
                <c:pt idx="95">
                  <c:v>42.75</c:v>
                </c:pt>
                <c:pt idx="96">
                  <c:v>43.19</c:v>
                </c:pt>
                <c:pt idx="97">
                  <c:v>43.22</c:v>
                </c:pt>
                <c:pt idx="98">
                  <c:v>42.71</c:v>
                </c:pt>
                <c:pt idx="99">
                  <c:v>42.99</c:v>
                </c:pt>
                <c:pt idx="100">
                  <c:v>42.65</c:v>
                </c:pt>
                <c:pt idx="101">
                  <c:v>43.82</c:v>
                </c:pt>
                <c:pt idx="102">
                  <c:v>43.38</c:v>
                </c:pt>
                <c:pt idx="103">
                  <c:v>44</c:v>
                </c:pt>
                <c:pt idx="104">
                  <c:v>46.1</c:v>
                </c:pt>
                <c:pt idx="105">
                  <c:v>47.68</c:v>
                </c:pt>
                <c:pt idx="106">
                  <c:v>46.25</c:v>
                </c:pt>
                <c:pt idx="107">
                  <c:v>47.15</c:v>
                </c:pt>
                <c:pt idx="108">
                  <c:v>46.3</c:v>
                </c:pt>
                <c:pt idx="109">
                  <c:v>45.83</c:v>
                </c:pt>
                <c:pt idx="110">
                  <c:v>45.87</c:v>
                </c:pt>
                <c:pt idx="111">
                  <c:v>45.74</c:v>
                </c:pt>
                <c:pt idx="112">
                  <c:v>45.77</c:v>
                </c:pt>
                <c:pt idx="113">
                  <c:v>46.06</c:v>
                </c:pt>
                <c:pt idx="114">
                  <c:v>45.74</c:v>
                </c:pt>
                <c:pt idx="115">
                  <c:v>45.84</c:v>
                </c:pt>
                <c:pt idx="116">
                  <c:v>46.57</c:v>
                </c:pt>
                <c:pt idx="117">
                  <c:v>46.89</c:v>
                </c:pt>
                <c:pt idx="118">
                  <c:v>46.26</c:v>
                </c:pt>
                <c:pt idx="119">
                  <c:v>46.22</c:v>
                </c:pt>
                <c:pt idx="120">
                  <c:v>48.8</c:v>
                </c:pt>
                <c:pt idx="121">
                  <c:v>48.68</c:v>
                </c:pt>
                <c:pt idx="122">
                  <c:v>49.78</c:v>
                </c:pt>
                <c:pt idx="123">
                  <c:v>51.31</c:v>
                </c:pt>
                <c:pt idx="124">
                  <c:v>51.4</c:v>
                </c:pt>
                <c:pt idx="125">
                  <c:v>50.82</c:v>
                </c:pt>
                <c:pt idx="126">
                  <c:v>49.61</c:v>
                </c:pt>
                <c:pt idx="127">
                  <c:v>49.87</c:v>
                </c:pt>
                <c:pt idx="128">
                  <c:v>51.21</c:v>
                </c:pt>
                <c:pt idx="129">
                  <c:v>52.64</c:v>
                </c:pt>
                <c:pt idx="130">
                  <c:v>53.19</c:v>
                </c:pt>
                <c:pt idx="131">
                  <c:v>52.11</c:v>
                </c:pt>
                <c:pt idx="132">
                  <c:v>51.9</c:v>
                </c:pt>
                <c:pt idx="133">
                  <c:v>53.2</c:v>
                </c:pt>
                <c:pt idx="134">
                  <c:v>53.84</c:v>
                </c:pt>
                <c:pt idx="135">
                  <c:v>53.44</c:v>
                </c:pt>
                <c:pt idx="136">
                  <c:v>51.08</c:v>
                </c:pt>
                <c:pt idx="137">
                  <c:v>52.34</c:v>
                </c:pt>
                <c:pt idx="138">
                  <c:v>53.61</c:v>
                </c:pt>
                <c:pt idx="139">
                  <c:v>54.44</c:v>
                </c:pt>
                <c:pt idx="140">
                  <c:v>53.75</c:v>
                </c:pt>
                <c:pt idx="141">
                  <c:v>52.78</c:v>
                </c:pt>
                <c:pt idx="142">
                  <c:v>51.7</c:v>
                </c:pt>
                <c:pt idx="143">
                  <c:v>51.3</c:v>
                </c:pt>
                <c:pt idx="144">
                  <c:v>50.37</c:v>
                </c:pt>
                <c:pt idx="145">
                  <c:v>51.59</c:v>
                </c:pt>
                <c:pt idx="146">
                  <c:v>49.25</c:v>
                </c:pt>
                <c:pt idx="147">
                  <c:v>53.74</c:v>
                </c:pt>
                <c:pt idx="148">
                  <c:v>54</c:v>
                </c:pt>
                <c:pt idx="149">
                  <c:v>53.44</c:v>
                </c:pt>
                <c:pt idx="150">
                  <c:v>52.21</c:v>
                </c:pt>
                <c:pt idx="151">
                  <c:v>54.94</c:v>
                </c:pt>
                <c:pt idx="152">
                  <c:v>56.14</c:v>
                </c:pt>
                <c:pt idx="153">
                  <c:v>55.66</c:v>
                </c:pt>
                <c:pt idx="154">
                  <c:v>56.79</c:v>
                </c:pt>
                <c:pt idx="155">
                  <c:v>56.1</c:v>
                </c:pt>
                <c:pt idx="156">
                  <c:v>57.03</c:v>
                </c:pt>
                <c:pt idx="157">
                  <c:v>55.41</c:v>
                </c:pt>
                <c:pt idx="158">
                  <c:v>54.47</c:v>
                </c:pt>
                <c:pt idx="159">
                  <c:v>57.59</c:v>
                </c:pt>
                <c:pt idx="160">
                  <c:v>57.5</c:v>
                </c:pt>
                <c:pt idx="161">
                  <c:v>59.95</c:v>
                </c:pt>
                <c:pt idx="162">
                  <c:v>61.85</c:v>
                </c:pt>
                <c:pt idx="163">
                  <c:v>61.15</c:v>
                </c:pt>
                <c:pt idx="164">
                  <c:v>60.23</c:v>
                </c:pt>
                <c:pt idx="165">
                  <c:v>59.9</c:v>
                </c:pt>
                <c:pt idx="166">
                  <c:v>60.11</c:v>
                </c:pt>
                <c:pt idx="167">
                  <c:v>61.18</c:v>
                </c:pt>
                <c:pt idx="168">
                  <c:v>61.54</c:v>
                </c:pt>
                <c:pt idx="169">
                  <c:v>61.45</c:v>
                </c:pt>
                <c:pt idx="170">
                  <c:v>62.28</c:v>
                </c:pt>
                <c:pt idx="171">
                  <c:v>64.95</c:v>
                </c:pt>
                <c:pt idx="172">
                  <c:v>64.52</c:v>
                </c:pt>
                <c:pt idx="173">
                  <c:v>64.56</c:v>
                </c:pt>
                <c:pt idx="174">
                  <c:v>64.959999999999994</c:v>
                </c:pt>
                <c:pt idx="175">
                  <c:v>66.52</c:v>
                </c:pt>
                <c:pt idx="176">
                  <c:v>67.11</c:v>
                </c:pt>
                <c:pt idx="177">
                  <c:v>69.34</c:v>
                </c:pt>
                <c:pt idx="178">
                  <c:v>69.66</c:v>
                </c:pt>
                <c:pt idx="179">
                  <c:v>68.099999999999994</c:v>
                </c:pt>
                <c:pt idx="180">
                  <c:v>67.819999999999993</c:v>
                </c:pt>
                <c:pt idx="181">
                  <c:v>71.599999999999994</c:v>
                </c:pt>
                <c:pt idx="182">
                  <c:v>72.63</c:v>
                </c:pt>
                <c:pt idx="183">
                  <c:v>71.819999999999993</c:v>
                </c:pt>
                <c:pt idx="184">
                  <c:v>74.05</c:v>
                </c:pt>
                <c:pt idx="185">
                  <c:v>73.95</c:v>
                </c:pt>
                <c:pt idx="186">
                  <c:v>74.08</c:v>
                </c:pt>
                <c:pt idx="187">
                  <c:v>74.33</c:v>
                </c:pt>
                <c:pt idx="188">
                  <c:v>74.91</c:v>
                </c:pt>
                <c:pt idx="189">
                  <c:v>74.98</c:v>
                </c:pt>
                <c:pt idx="190">
                  <c:v>72.010000000000005</c:v>
                </c:pt>
                <c:pt idx="191">
                  <c:v>72.180000000000007</c:v>
                </c:pt>
                <c:pt idx="192">
                  <c:v>71.11</c:v>
                </c:pt>
                <c:pt idx="193">
                  <c:v>71.38</c:v>
                </c:pt>
                <c:pt idx="194">
                  <c:v>72.11</c:v>
                </c:pt>
                <c:pt idx="195">
                  <c:v>73.5</c:v>
                </c:pt>
                <c:pt idx="196">
                  <c:v>74.02</c:v>
                </c:pt>
                <c:pt idx="197">
                  <c:v>73.349999999999994</c:v>
                </c:pt>
                <c:pt idx="198">
                  <c:v>74.23</c:v>
                </c:pt>
                <c:pt idx="199">
                  <c:v>73.569999999999993</c:v>
                </c:pt>
                <c:pt idx="200">
                  <c:v>71.45</c:v>
                </c:pt>
                <c:pt idx="201">
                  <c:v>71.89</c:v>
                </c:pt>
                <c:pt idx="202">
                  <c:v>74.75</c:v>
                </c:pt>
                <c:pt idx="203">
                  <c:v>74.97</c:v>
                </c:pt>
                <c:pt idx="204">
                  <c:v>74.38</c:v>
                </c:pt>
                <c:pt idx="205">
                  <c:v>76.3</c:v>
                </c:pt>
                <c:pt idx="206">
                  <c:v>76.05</c:v>
                </c:pt>
                <c:pt idx="207">
                  <c:v>80.86</c:v>
                </c:pt>
                <c:pt idx="208">
                  <c:v>83.9</c:v>
                </c:pt>
                <c:pt idx="209">
                  <c:v>84.29</c:v>
                </c:pt>
                <c:pt idx="210">
                  <c:v>85.59</c:v>
                </c:pt>
                <c:pt idx="211">
                  <c:v>84.71</c:v>
                </c:pt>
                <c:pt idx="212">
                  <c:v>82.49</c:v>
                </c:pt>
                <c:pt idx="213">
                  <c:v>79.040000000000006</c:v>
                </c:pt>
                <c:pt idx="214">
                  <c:v>76.09</c:v>
                </c:pt>
                <c:pt idx="215">
                  <c:v>77.67</c:v>
                </c:pt>
                <c:pt idx="216">
                  <c:v>76.040000000000006</c:v>
                </c:pt>
                <c:pt idx="217">
                  <c:v>74.2</c:v>
                </c:pt>
                <c:pt idx="218">
                  <c:v>72.33</c:v>
                </c:pt>
                <c:pt idx="219">
                  <c:v>72.03</c:v>
                </c:pt>
                <c:pt idx="220">
                  <c:v>75</c:v>
                </c:pt>
                <c:pt idx="221">
                  <c:v>75.510000000000005</c:v>
                </c:pt>
                <c:pt idx="222">
                  <c:v>75.42</c:v>
                </c:pt>
                <c:pt idx="223">
                  <c:v>72.099999999999994</c:v>
                </c:pt>
                <c:pt idx="224">
                  <c:v>71.849999999999994</c:v>
                </c:pt>
                <c:pt idx="225">
                  <c:v>67.3</c:v>
                </c:pt>
                <c:pt idx="226">
                  <c:v>67.599999999999994</c:v>
                </c:pt>
                <c:pt idx="227">
                  <c:v>68.81</c:v>
                </c:pt>
                <c:pt idx="228">
                  <c:v>64.95</c:v>
                </c:pt>
                <c:pt idx="229">
                  <c:v>67.31</c:v>
                </c:pt>
                <c:pt idx="230">
                  <c:v>64.709999999999994</c:v>
                </c:pt>
                <c:pt idx="231">
                  <c:v>67.64</c:v>
                </c:pt>
                <c:pt idx="232">
                  <c:v>69.22</c:v>
                </c:pt>
                <c:pt idx="233">
                  <c:v>70.569999999999993</c:v>
                </c:pt>
                <c:pt idx="234">
                  <c:v>70.290000000000006</c:v>
                </c:pt>
                <c:pt idx="235">
                  <c:v>69.08</c:v>
                </c:pt>
                <c:pt idx="236">
                  <c:v>71.319999999999993</c:v>
                </c:pt>
                <c:pt idx="237">
                  <c:v>71.75</c:v>
                </c:pt>
                <c:pt idx="238">
                  <c:v>71.459999999999994</c:v>
                </c:pt>
                <c:pt idx="239">
                  <c:v>70.989999999999995</c:v>
                </c:pt>
                <c:pt idx="240">
                  <c:v>68.489999999999995</c:v>
                </c:pt>
                <c:pt idx="241">
                  <c:v>69.099999999999994</c:v>
                </c:pt>
                <c:pt idx="242">
                  <c:v>69.61</c:v>
                </c:pt>
                <c:pt idx="243">
                  <c:v>67.72</c:v>
                </c:pt>
                <c:pt idx="244">
                  <c:v>65.48</c:v>
                </c:pt>
                <c:pt idx="245">
                  <c:v>66.31</c:v>
                </c:pt>
                <c:pt idx="246">
                  <c:v>65.66</c:v>
                </c:pt>
                <c:pt idx="247">
                  <c:v>63.93</c:v>
                </c:pt>
                <c:pt idx="248">
                  <c:v>63.19</c:v>
                </c:pt>
                <c:pt idx="249">
                  <c:v>65.680000000000007</c:v>
                </c:pt>
                <c:pt idx="250">
                  <c:v>67.319999999999993</c:v>
                </c:pt>
                <c:pt idx="251">
                  <c:v>66.23</c:v>
                </c:pt>
                <c:pt idx="252">
                  <c:v>64.31</c:v>
                </c:pt>
                <c:pt idx="253">
                  <c:v>64.66</c:v>
                </c:pt>
                <c:pt idx="254">
                  <c:v>63.99</c:v>
                </c:pt>
                <c:pt idx="255">
                  <c:v>61.81</c:v>
                </c:pt>
                <c:pt idx="256">
                  <c:v>61.67</c:v>
                </c:pt>
                <c:pt idx="257">
                  <c:v>60.16</c:v>
                </c:pt>
                <c:pt idx="258">
                  <c:v>59.96</c:v>
                </c:pt>
                <c:pt idx="259">
                  <c:v>59.51</c:v>
                </c:pt>
                <c:pt idx="260">
                  <c:v>58.71</c:v>
                </c:pt>
                <c:pt idx="261">
                  <c:v>62.33</c:v>
                </c:pt>
                <c:pt idx="262">
                  <c:v>62.75</c:v>
                </c:pt>
                <c:pt idx="263">
                  <c:v>62.72</c:v>
                </c:pt>
                <c:pt idx="264">
                  <c:v>62.65</c:v>
                </c:pt>
                <c:pt idx="265">
                  <c:v>61.17</c:v>
                </c:pt>
                <c:pt idx="266">
                  <c:v>67.209999999999994</c:v>
                </c:pt>
                <c:pt idx="267">
                  <c:v>71.239999999999995</c:v>
                </c:pt>
                <c:pt idx="268">
                  <c:v>69.790000000000006</c:v>
                </c:pt>
                <c:pt idx="269">
                  <c:v>68.67</c:v>
                </c:pt>
                <c:pt idx="270">
                  <c:v>67.989999999999995</c:v>
                </c:pt>
                <c:pt idx="271">
                  <c:v>66.709999999999994</c:v>
                </c:pt>
                <c:pt idx="272">
                  <c:v>66.47</c:v>
                </c:pt>
                <c:pt idx="273">
                  <c:v>64.81</c:v>
                </c:pt>
                <c:pt idx="274">
                  <c:v>66.22</c:v>
                </c:pt>
                <c:pt idx="275">
                  <c:v>65.650000000000006</c:v>
                </c:pt>
                <c:pt idx="276">
                  <c:v>67.63</c:v>
                </c:pt>
                <c:pt idx="277">
                  <c:v>67.040000000000006</c:v>
                </c:pt>
                <c:pt idx="278">
                  <c:v>65.75</c:v>
                </c:pt>
                <c:pt idx="279">
                  <c:v>66.17</c:v>
                </c:pt>
                <c:pt idx="280">
                  <c:v>68.150000000000006</c:v>
                </c:pt>
                <c:pt idx="281">
                  <c:v>69.36</c:v>
                </c:pt>
                <c:pt idx="282">
                  <c:v>70.39</c:v>
                </c:pt>
                <c:pt idx="283">
                  <c:v>69.599999999999994</c:v>
                </c:pt>
                <c:pt idx="284">
                  <c:v>71.62</c:v>
                </c:pt>
                <c:pt idx="285">
                  <c:v>71.14</c:v>
                </c:pt>
                <c:pt idx="286">
                  <c:v>71.13</c:v>
                </c:pt>
                <c:pt idx="287">
                  <c:v>71.89</c:v>
                </c:pt>
                <c:pt idx="288">
                  <c:v>71.89</c:v>
                </c:pt>
                <c:pt idx="289">
                  <c:v>71.03</c:v>
                </c:pt>
                <c:pt idx="290">
                  <c:v>70.599999999999994</c:v>
                </c:pt>
                <c:pt idx="291">
                  <c:v>68.150000000000006</c:v>
                </c:pt>
                <c:pt idx="292">
                  <c:v>67.7</c:v>
                </c:pt>
                <c:pt idx="293">
                  <c:v>67.790000000000006</c:v>
                </c:pt>
                <c:pt idx="294">
                  <c:v>64.98</c:v>
                </c:pt>
                <c:pt idx="295">
                  <c:v>65.260000000000005</c:v>
                </c:pt>
                <c:pt idx="296">
                  <c:v>63.18</c:v>
                </c:pt>
                <c:pt idx="297">
                  <c:v>64.510000000000005</c:v>
                </c:pt>
                <c:pt idx="298">
                  <c:v>63.38</c:v>
                </c:pt>
                <c:pt idx="299">
                  <c:v>63.15</c:v>
                </c:pt>
                <c:pt idx="300">
                  <c:v>63.34</c:v>
                </c:pt>
                <c:pt idx="301">
                  <c:v>64.33</c:v>
                </c:pt>
                <c:pt idx="302">
                  <c:v>63.55</c:v>
                </c:pt>
                <c:pt idx="303">
                  <c:v>61.22</c:v>
                </c:pt>
                <c:pt idx="304">
                  <c:v>59.77</c:v>
                </c:pt>
                <c:pt idx="305">
                  <c:v>62.17</c:v>
                </c:pt>
                <c:pt idx="306">
                  <c:v>61.66</c:v>
                </c:pt>
                <c:pt idx="307">
                  <c:v>60</c:v>
                </c:pt>
                <c:pt idx="308">
                  <c:v>59.72</c:v>
                </c:pt>
                <c:pt idx="309">
                  <c:v>58.56</c:v>
                </c:pt>
                <c:pt idx="310">
                  <c:v>60.76</c:v>
                </c:pt>
                <c:pt idx="311">
                  <c:v>59.24</c:v>
                </c:pt>
                <c:pt idx="312">
                  <c:v>57</c:v>
                </c:pt>
                <c:pt idx="313">
                  <c:v>58.33</c:v>
                </c:pt>
                <c:pt idx="314">
                  <c:v>57.61</c:v>
                </c:pt>
                <c:pt idx="315">
                  <c:v>59.38</c:v>
                </c:pt>
                <c:pt idx="316">
                  <c:v>57.56</c:v>
                </c:pt>
                <c:pt idx="317">
                  <c:v>57.2</c:v>
                </c:pt>
                <c:pt idx="318">
                  <c:v>57.47</c:v>
                </c:pt>
                <c:pt idx="319">
                  <c:v>57.86</c:v>
                </c:pt>
                <c:pt idx="320">
                  <c:v>59.58</c:v>
                </c:pt>
                <c:pt idx="321">
                  <c:v>58.83</c:v>
                </c:pt>
                <c:pt idx="322">
                  <c:v>58.99</c:v>
                </c:pt>
                <c:pt idx="323">
                  <c:v>57.43</c:v>
                </c:pt>
                <c:pt idx="324">
                  <c:v>56.02</c:v>
                </c:pt>
                <c:pt idx="325">
                  <c:v>58.97</c:v>
                </c:pt>
                <c:pt idx="326">
                  <c:v>57.27</c:v>
                </c:pt>
                <c:pt idx="327">
                  <c:v>57.95</c:v>
                </c:pt>
                <c:pt idx="328">
                  <c:v>57</c:v>
                </c:pt>
                <c:pt idx="329">
                  <c:v>55.77</c:v>
                </c:pt>
                <c:pt idx="330">
                  <c:v>55.4</c:v>
                </c:pt>
                <c:pt idx="331">
                  <c:v>55</c:v>
                </c:pt>
                <c:pt idx="332">
                  <c:v>55.65</c:v>
                </c:pt>
                <c:pt idx="333">
                  <c:v>52.96</c:v>
                </c:pt>
                <c:pt idx="334">
                  <c:v>52.25</c:v>
                </c:pt>
                <c:pt idx="335">
                  <c:v>50.67</c:v>
                </c:pt>
                <c:pt idx="336">
                  <c:v>52.37</c:v>
                </c:pt>
                <c:pt idx="337">
                  <c:v>52.9</c:v>
                </c:pt>
                <c:pt idx="338">
                  <c:v>54.1</c:v>
                </c:pt>
                <c:pt idx="339">
                  <c:v>60.5</c:v>
                </c:pt>
                <c:pt idx="340">
                  <c:v>60.72</c:v>
                </c:pt>
                <c:pt idx="341">
                  <c:v>61.42</c:v>
                </c:pt>
                <c:pt idx="342">
                  <c:v>61.93</c:v>
                </c:pt>
                <c:pt idx="343">
                  <c:v>63.87</c:v>
                </c:pt>
                <c:pt idx="344">
                  <c:v>63.4</c:v>
                </c:pt>
                <c:pt idx="345">
                  <c:v>65.59</c:v>
                </c:pt>
                <c:pt idx="346">
                  <c:v>67.959999999999994</c:v>
                </c:pt>
                <c:pt idx="347">
                  <c:v>67.180000000000007</c:v>
                </c:pt>
                <c:pt idx="348">
                  <c:v>68.16</c:v>
                </c:pt>
                <c:pt idx="349">
                  <c:v>69.59</c:v>
                </c:pt>
                <c:pt idx="350">
                  <c:v>68.3</c:v>
                </c:pt>
                <c:pt idx="351">
                  <c:v>67.209999999999994</c:v>
                </c:pt>
                <c:pt idx="352">
                  <c:v>64.78</c:v>
                </c:pt>
                <c:pt idx="353">
                  <c:v>63.59</c:v>
                </c:pt>
                <c:pt idx="354">
                  <c:v>64.069999999999993</c:v>
                </c:pt>
                <c:pt idx="355">
                  <c:v>63.65</c:v>
                </c:pt>
                <c:pt idx="356">
                  <c:v>63.94</c:v>
                </c:pt>
                <c:pt idx="357">
                  <c:v>66.45</c:v>
                </c:pt>
                <c:pt idx="358">
                  <c:v>67.98</c:v>
                </c:pt>
                <c:pt idx="359">
                  <c:v>67.59</c:v>
                </c:pt>
                <c:pt idx="360">
                  <c:v>67.91</c:v>
                </c:pt>
                <c:pt idx="361">
                  <c:v>66.56</c:v>
                </c:pt>
                <c:pt idx="362">
                  <c:v>67.62</c:v>
                </c:pt>
                <c:pt idx="363">
                  <c:v>67.31</c:v>
                </c:pt>
                <c:pt idx="364">
                  <c:v>67.81</c:v>
                </c:pt>
                <c:pt idx="365">
                  <c:v>68.75</c:v>
                </c:pt>
                <c:pt idx="366">
                  <c:v>66.98</c:v>
                </c:pt>
                <c:pt idx="367">
                  <c:v>66.48</c:v>
                </c:pt>
                <c:pt idx="368">
                  <c:v>66.959999999999994</c:v>
                </c:pt>
                <c:pt idx="369">
                  <c:v>67.849999999999994</c:v>
                </c:pt>
                <c:pt idx="370">
                  <c:v>68.38</c:v>
                </c:pt>
                <c:pt idx="371">
                  <c:v>71.48</c:v>
                </c:pt>
                <c:pt idx="372">
                  <c:v>70.03</c:v>
                </c:pt>
                <c:pt idx="373">
                  <c:v>72.8</c:v>
                </c:pt>
                <c:pt idx="374">
                  <c:v>72.52</c:v>
                </c:pt>
                <c:pt idx="375">
                  <c:v>72.5</c:v>
                </c:pt>
                <c:pt idx="376">
                  <c:v>72.63</c:v>
                </c:pt>
                <c:pt idx="377">
                  <c:v>74.2</c:v>
                </c:pt>
                <c:pt idx="378">
                  <c:v>74.17</c:v>
                </c:pt>
                <c:pt idx="379">
                  <c:v>74.099999999999994</c:v>
                </c:pt>
                <c:pt idx="380">
                  <c:v>73.89</c:v>
                </c:pt>
                <c:pt idx="381">
                  <c:v>73.77</c:v>
                </c:pt>
                <c:pt idx="382">
                  <c:v>75.260000000000005</c:v>
                </c:pt>
                <c:pt idx="383">
                  <c:v>74.650000000000006</c:v>
                </c:pt>
                <c:pt idx="384">
                  <c:v>73</c:v>
                </c:pt>
                <c:pt idx="385">
                  <c:v>75.75</c:v>
                </c:pt>
                <c:pt idx="386">
                  <c:v>77.61</c:v>
                </c:pt>
                <c:pt idx="387">
                  <c:v>76.41</c:v>
                </c:pt>
                <c:pt idx="388">
                  <c:v>77.010000000000005</c:v>
                </c:pt>
                <c:pt idx="389">
                  <c:v>76.98</c:v>
                </c:pt>
                <c:pt idx="390">
                  <c:v>74.86</c:v>
                </c:pt>
                <c:pt idx="391">
                  <c:v>74.08</c:v>
                </c:pt>
                <c:pt idx="392">
                  <c:v>75.38</c:v>
                </c:pt>
                <c:pt idx="393">
                  <c:v>74.83</c:v>
                </c:pt>
                <c:pt idx="394">
                  <c:v>74.22</c:v>
                </c:pt>
                <c:pt idx="395">
                  <c:v>74.63</c:v>
                </c:pt>
                <c:pt idx="396">
                  <c:v>73.81</c:v>
                </c:pt>
                <c:pt idx="397">
                  <c:v>73.23</c:v>
                </c:pt>
                <c:pt idx="398">
                  <c:v>75.260000000000005</c:v>
                </c:pt>
                <c:pt idx="399">
                  <c:v>75.02</c:v>
                </c:pt>
                <c:pt idx="400">
                  <c:v>75.400000000000006</c:v>
                </c:pt>
                <c:pt idx="401">
                  <c:v>74.290000000000006</c:v>
                </c:pt>
                <c:pt idx="402">
                  <c:v>74.53</c:v>
                </c:pt>
                <c:pt idx="403">
                  <c:v>78.989999999999995</c:v>
                </c:pt>
                <c:pt idx="404">
                  <c:v>79.95</c:v>
                </c:pt>
                <c:pt idx="405">
                  <c:v>81.459999999999994</c:v>
                </c:pt>
                <c:pt idx="406">
                  <c:v>81.05</c:v>
                </c:pt>
                <c:pt idx="407">
                  <c:v>81.680000000000007</c:v>
                </c:pt>
                <c:pt idx="408">
                  <c:v>82.19</c:v>
                </c:pt>
                <c:pt idx="409">
                  <c:v>80.41</c:v>
                </c:pt>
                <c:pt idx="410">
                  <c:v>80.42</c:v>
                </c:pt>
                <c:pt idx="411">
                  <c:v>81.08</c:v>
                </c:pt>
                <c:pt idx="412">
                  <c:v>79.16</c:v>
                </c:pt>
                <c:pt idx="413">
                  <c:v>78.98</c:v>
                </c:pt>
                <c:pt idx="414">
                  <c:v>78.290000000000006</c:v>
                </c:pt>
                <c:pt idx="415">
                  <c:v>79.709999999999994</c:v>
                </c:pt>
                <c:pt idx="416">
                  <c:v>80.510000000000005</c:v>
                </c:pt>
                <c:pt idx="417">
                  <c:v>82.45</c:v>
                </c:pt>
                <c:pt idx="418">
                  <c:v>83.34</c:v>
                </c:pt>
                <c:pt idx="419">
                  <c:v>83.12</c:v>
                </c:pt>
                <c:pt idx="420">
                  <c:v>84.35</c:v>
                </c:pt>
                <c:pt idx="421">
                  <c:v>85</c:v>
                </c:pt>
                <c:pt idx="422">
                  <c:v>84.05</c:v>
                </c:pt>
                <c:pt idx="423">
                  <c:v>85.61</c:v>
                </c:pt>
                <c:pt idx="424">
                  <c:v>85.85</c:v>
                </c:pt>
                <c:pt idx="425">
                  <c:v>86.47</c:v>
                </c:pt>
                <c:pt idx="426">
                  <c:v>88.6</c:v>
                </c:pt>
                <c:pt idx="427">
                  <c:v>90.31</c:v>
                </c:pt>
                <c:pt idx="428">
                  <c:v>91.63</c:v>
                </c:pt>
                <c:pt idx="429">
                  <c:v>89.54</c:v>
                </c:pt>
                <c:pt idx="430">
                  <c:v>91.81</c:v>
                </c:pt>
                <c:pt idx="431">
                  <c:v>91.8</c:v>
                </c:pt>
                <c:pt idx="432">
                  <c:v>91.66</c:v>
                </c:pt>
                <c:pt idx="433">
                  <c:v>91.32</c:v>
                </c:pt>
                <c:pt idx="434">
                  <c:v>91.12</c:v>
                </c:pt>
                <c:pt idx="435">
                  <c:v>91.27</c:v>
                </c:pt>
                <c:pt idx="436">
                  <c:v>89.83</c:v>
                </c:pt>
                <c:pt idx="437">
                  <c:v>87.04</c:v>
                </c:pt>
                <c:pt idx="438">
                  <c:v>88.26</c:v>
                </c:pt>
                <c:pt idx="439">
                  <c:v>88.75</c:v>
                </c:pt>
                <c:pt idx="440">
                  <c:v>86.14</c:v>
                </c:pt>
                <c:pt idx="441">
                  <c:v>89.05</c:v>
                </c:pt>
                <c:pt idx="442">
                  <c:v>88.55</c:v>
                </c:pt>
                <c:pt idx="443">
                  <c:v>87.72</c:v>
                </c:pt>
                <c:pt idx="444">
                  <c:v>85.47</c:v>
                </c:pt>
                <c:pt idx="445">
                  <c:v>86.31</c:v>
                </c:pt>
                <c:pt idx="446">
                  <c:v>84.76</c:v>
                </c:pt>
                <c:pt idx="447">
                  <c:v>82.9</c:v>
                </c:pt>
                <c:pt idx="448">
                  <c:v>82.2</c:v>
                </c:pt>
                <c:pt idx="449">
                  <c:v>81.510000000000005</c:v>
                </c:pt>
                <c:pt idx="450">
                  <c:v>81.52</c:v>
                </c:pt>
                <c:pt idx="451">
                  <c:v>80.87</c:v>
                </c:pt>
                <c:pt idx="452">
                  <c:v>84.84</c:v>
                </c:pt>
                <c:pt idx="453">
                  <c:v>83.8</c:v>
                </c:pt>
                <c:pt idx="454">
                  <c:v>85.66</c:v>
                </c:pt>
                <c:pt idx="455">
                  <c:v>85.05</c:v>
                </c:pt>
                <c:pt idx="456">
                  <c:v>85.47</c:v>
                </c:pt>
                <c:pt idx="457">
                  <c:v>92.57</c:v>
                </c:pt>
                <c:pt idx="458">
                  <c:v>97</c:v>
                </c:pt>
                <c:pt idx="459">
                  <c:v>95.8</c:v>
                </c:pt>
                <c:pt idx="460">
                  <c:v>94.62</c:v>
                </c:pt>
                <c:pt idx="461">
                  <c:v>97.1</c:v>
                </c:pt>
                <c:pt idx="462">
                  <c:v>94.95</c:v>
                </c:pt>
                <c:pt idx="463">
                  <c:v>89.07</c:v>
                </c:pt>
                <c:pt idx="464">
                  <c:v>88.5</c:v>
                </c:pt>
                <c:pt idx="465">
                  <c:v>86.79</c:v>
                </c:pt>
                <c:pt idx="466">
                  <c:v>85.7</c:v>
                </c:pt>
                <c:pt idx="467">
                  <c:v>86.7</c:v>
                </c:pt>
                <c:pt idx="468">
                  <c:v>86.25</c:v>
                </c:pt>
                <c:pt idx="469">
                  <c:v>85.38</c:v>
                </c:pt>
                <c:pt idx="470">
                  <c:v>85.94</c:v>
                </c:pt>
                <c:pt idx="471">
                  <c:v>85.55</c:v>
                </c:pt>
                <c:pt idx="472">
                  <c:v>85.73</c:v>
                </c:pt>
                <c:pt idx="473">
                  <c:v>84.74</c:v>
                </c:pt>
                <c:pt idx="474">
                  <c:v>84.75</c:v>
                </c:pt>
                <c:pt idx="475">
                  <c:v>83.94</c:v>
                </c:pt>
                <c:pt idx="476">
                  <c:v>84.15</c:v>
                </c:pt>
                <c:pt idx="477">
                  <c:v>86.15</c:v>
                </c:pt>
                <c:pt idx="478">
                  <c:v>86.18</c:v>
                </c:pt>
                <c:pt idx="479">
                  <c:v>83.27</c:v>
                </c:pt>
                <c:pt idx="480">
                  <c:v>84.88</c:v>
                </c:pt>
                <c:pt idx="481">
                  <c:v>84.7</c:v>
                </c:pt>
                <c:pt idx="482">
                  <c:v>85.3</c:v>
                </c:pt>
                <c:pt idx="483">
                  <c:v>85.21</c:v>
                </c:pt>
                <c:pt idx="484">
                  <c:v>84.83</c:v>
                </c:pt>
                <c:pt idx="485">
                  <c:v>85.9</c:v>
                </c:pt>
                <c:pt idx="486">
                  <c:v>89.2</c:v>
                </c:pt>
                <c:pt idx="487">
                  <c:v>89.51</c:v>
                </c:pt>
                <c:pt idx="488">
                  <c:v>89.07</c:v>
                </c:pt>
                <c:pt idx="489">
                  <c:v>88.51</c:v>
                </c:pt>
                <c:pt idx="490">
                  <c:v>83.93</c:v>
                </c:pt>
                <c:pt idx="491">
                  <c:v>84.61</c:v>
                </c:pt>
                <c:pt idx="492">
                  <c:v>87.06</c:v>
                </c:pt>
                <c:pt idx="493">
                  <c:v>85.41</c:v>
                </c:pt>
                <c:pt idx="494">
                  <c:v>86.32</c:v>
                </c:pt>
                <c:pt idx="495">
                  <c:v>88.19</c:v>
                </c:pt>
                <c:pt idx="496">
                  <c:v>87.72</c:v>
                </c:pt>
                <c:pt idx="497">
                  <c:v>88</c:v>
                </c:pt>
                <c:pt idx="498">
                  <c:v>87.97</c:v>
                </c:pt>
                <c:pt idx="499">
                  <c:v>89.87</c:v>
                </c:pt>
                <c:pt idx="500">
                  <c:v>88.4</c:v>
                </c:pt>
                <c:pt idx="501">
                  <c:v>90</c:v>
                </c:pt>
                <c:pt idx="502">
                  <c:v>89.57</c:v>
                </c:pt>
                <c:pt idx="503">
                  <c:v>89.59</c:v>
                </c:pt>
                <c:pt idx="504">
                  <c:v>91.13</c:v>
                </c:pt>
                <c:pt idx="505">
                  <c:v>91.48</c:v>
                </c:pt>
                <c:pt idx="506">
                  <c:v>93.87</c:v>
                </c:pt>
                <c:pt idx="507">
                  <c:v>93.96</c:v>
                </c:pt>
                <c:pt idx="508">
                  <c:v>93.52</c:v>
                </c:pt>
                <c:pt idx="509">
                  <c:v>95.85</c:v>
                </c:pt>
                <c:pt idx="510">
                  <c:v>95.46</c:v>
                </c:pt>
                <c:pt idx="511">
                  <c:v>93.24</c:v>
                </c:pt>
                <c:pt idx="512">
                  <c:v>93.75</c:v>
                </c:pt>
                <c:pt idx="513">
                  <c:v>92.91</c:v>
                </c:pt>
                <c:pt idx="514">
                  <c:v>93.65</c:v>
                </c:pt>
                <c:pt idx="515">
                  <c:v>94.5</c:v>
                </c:pt>
                <c:pt idx="516">
                  <c:v>94.27</c:v>
                </c:pt>
                <c:pt idx="517">
                  <c:v>94.68</c:v>
                </c:pt>
                <c:pt idx="518">
                  <c:v>93.65</c:v>
                </c:pt>
                <c:pt idx="519">
                  <c:v>94.25</c:v>
                </c:pt>
                <c:pt idx="520">
                  <c:v>92.59</c:v>
                </c:pt>
                <c:pt idx="521">
                  <c:v>92.19</c:v>
                </c:pt>
                <c:pt idx="522">
                  <c:v>90.24</c:v>
                </c:pt>
                <c:pt idx="523">
                  <c:v>91.43</c:v>
                </c:pt>
                <c:pt idx="524">
                  <c:v>90.35</c:v>
                </c:pt>
                <c:pt idx="525">
                  <c:v>90.4</c:v>
                </c:pt>
                <c:pt idx="526">
                  <c:v>90.27</c:v>
                </c:pt>
                <c:pt idx="527">
                  <c:v>90.97</c:v>
                </c:pt>
                <c:pt idx="528">
                  <c:v>93.51</c:v>
                </c:pt>
                <c:pt idx="529">
                  <c:v>93.24</c:v>
                </c:pt>
                <c:pt idx="530">
                  <c:v>95.35</c:v>
                </c:pt>
                <c:pt idx="531">
                  <c:v>98.84</c:v>
                </c:pt>
                <c:pt idx="532">
                  <c:v>99.92</c:v>
                </c:pt>
                <c:pt idx="533">
                  <c:v>99.8</c:v>
                </c:pt>
                <c:pt idx="534">
                  <c:v>99.47</c:v>
                </c:pt>
                <c:pt idx="535">
                  <c:v>100.39</c:v>
                </c:pt>
                <c:pt idx="536">
                  <c:v>100.4</c:v>
                </c:pt>
                <c:pt idx="537">
                  <c:v>100.81</c:v>
                </c:pt>
                <c:pt idx="538">
                  <c:v>103.92</c:v>
                </c:pt>
                <c:pt idx="539">
                  <c:v>105.06</c:v>
                </c:pt>
                <c:pt idx="540">
                  <c:v>106.88</c:v>
                </c:pt>
                <c:pt idx="541">
                  <c:v>107.34</c:v>
                </c:pt>
                <c:pt idx="542">
                  <c:v>108.74</c:v>
                </c:pt>
                <c:pt idx="543">
                  <c:v>109.36</c:v>
                </c:pt>
                <c:pt idx="544">
                  <c:v>107.52</c:v>
                </c:pt>
                <c:pt idx="545">
                  <c:v>107.34</c:v>
                </c:pt>
                <c:pt idx="546">
                  <c:v>109.44</c:v>
                </c:pt>
                <c:pt idx="547">
                  <c:v>110.02</c:v>
                </c:pt>
                <c:pt idx="548">
                  <c:v>111.98</c:v>
                </c:pt>
                <c:pt idx="549">
                  <c:v>113.54</c:v>
                </c:pt>
                <c:pt idx="550">
                  <c:v>112.89</c:v>
                </c:pt>
                <c:pt idx="551">
                  <c:v>110.69</c:v>
                </c:pt>
                <c:pt idx="552">
                  <c:v>113.62</c:v>
                </c:pt>
                <c:pt idx="553">
                  <c:v>114.35</c:v>
                </c:pt>
                <c:pt idx="554">
                  <c:v>118.77</c:v>
                </c:pt>
                <c:pt idx="555">
                  <c:v>121.19</c:v>
                </c:pt>
                <c:pt idx="556">
                  <c:v>118.4</c:v>
                </c:pt>
                <c:pt idx="557">
                  <c:v>121.33</c:v>
                </c:pt>
                <c:pt idx="558">
                  <c:v>122.67</c:v>
                </c:pt>
                <c:pt idx="559">
                  <c:v>123.64</c:v>
                </c:pt>
                <c:pt idx="560">
                  <c:v>124.07</c:v>
                </c:pt>
                <c:pt idx="561">
                  <c:v>124.49</c:v>
                </c:pt>
                <c:pt idx="562">
                  <c:v>120.19</c:v>
                </c:pt>
                <c:pt idx="563">
                  <c:v>120.38</c:v>
                </c:pt>
                <c:pt idx="564">
                  <c:v>117.5</c:v>
                </c:pt>
                <c:pt idx="565">
                  <c:v>118.75</c:v>
                </c:pt>
                <c:pt idx="566">
                  <c:v>120.5</c:v>
                </c:pt>
                <c:pt idx="567">
                  <c:v>125.09</c:v>
                </c:pt>
                <c:pt idx="568">
                  <c:v>123.66</c:v>
                </c:pt>
                <c:pt idx="569">
                  <c:v>121.55</c:v>
                </c:pt>
                <c:pt idx="570">
                  <c:v>123.9</c:v>
                </c:pt>
                <c:pt idx="571">
                  <c:v>123</c:v>
                </c:pt>
                <c:pt idx="572">
                  <c:v>122.34</c:v>
                </c:pt>
                <c:pt idx="573">
                  <c:v>119.65</c:v>
                </c:pt>
                <c:pt idx="574">
                  <c:v>121.89</c:v>
                </c:pt>
                <c:pt idx="575">
                  <c:v>120.56</c:v>
                </c:pt>
                <c:pt idx="576">
                  <c:v>122.04</c:v>
                </c:pt>
                <c:pt idx="577">
                  <c:v>121.26</c:v>
                </c:pt>
                <c:pt idx="578">
                  <c:v>127.17</c:v>
                </c:pt>
                <c:pt idx="579">
                  <c:v>132.75</c:v>
                </c:pt>
                <c:pt idx="580">
                  <c:v>132.30000000000001</c:v>
                </c:pt>
                <c:pt idx="581">
                  <c:v>130.33000000000001</c:v>
                </c:pt>
                <c:pt idx="582">
                  <c:v>132.35</c:v>
                </c:pt>
                <c:pt idx="583">
                  <c:v>132.38999999999999</c:v>
                </c:pt>
                <c:pt idx="584">
                  <c:v>134.07</c:v>
                </c:pt>
                <c:pt idx="585">
                  <c:v>137.72999999999999</c:v>
                </c:pt>
                <c:pt idx="586">
                  <c:v>138.1</c:v>
                </c:pt>
                <c:pt idx="587">
                  <c:v>138.91</c:v>
                </c:pt>
                <c:pt idx="588">
                  <c:v>138.12</c:v>
                </c:pt>
                <c:pt idx="589">
                  <c:v>140</c:v>
                </c:pt>
                <c:pt idx="590">
                  <c:v>143.75</c:v>
                </c:pt>
                <c:pt idx="591">
                  <c:v>143.69999999999999</c:v>
                </c:pt>
                <c:pt idx="592">
                  <c:v>134.88999999999999</c:v>
                </c:pt>
                <c:pt idx="593">
                  <c:v>137.26</c:v>
                </c:pt>
                <c:pt idx="594">
                  <c:v>146</c:v>
                </c:pt>
                <c:pt idx="595">
                  <c:v>143.85</c:v>
                </c:pt>
                <c:pt idx="596">
                  <c:v>141.43</c:v>
                </c:pt>
                <c:pt idx="597">
                  <c:v>131.76</c:v>
                </c:pt>
                <c:pt idx="598">
                  <c:v>135</c:v>
                </c:pt>
                <c:pt idx="599">
                  <c:v>136.49</c:v>
                </c:pt>
                <c:pt idx="600">
                  <c:v>131.85</c:v>
                </c:pt>
                <c:pt idx="601">
                  <c:v>135.25</c:v>
                </c:pt>
                <c:pt idx="602">
                  <c:v>135.03</c:v>
                </c:pt>
                <c:pt idx="603">
                  <c:v>134.01</c:v>
                </c:pt>
                <c:pt idx="604">
                  <c:v>126.39</c:v>
                </c:pt>
                <c:pt idx="605">
                  <c:v>125</c:v>
                </c:pt>
                <c:pt idx="606">
                  <c:v>127.79</c:v>
                </c:pt>
                <c:pt idx="607">
                  <c:v>124.03</c:v>
                </c:pt>
                <c:pt idx="608">
                  <c:v>119.9</c:v>
                </c:pt>
                <c:pt idx="609">
                  <c:v>117.05</c:v>
                </c:pt>
                <c:pt idx="610">
                  <c:v>122.06</c:v>
                </c:pt>
                <c:pt idx="611">
                  <c:v>122.22</c:v>
                </c:pt>
                <c:pt idx="612">
                  <c:v>127.57</c:v>
                </c:pt>
                <c:pt idx="613">
                  <c:v>132.51</c:v>
                </c:pt>
                <c:pt idx="614">
                  <c:v>131.07</c:v>
                </c:pt>
                <c:pt idx="615">
                  <c:v>135.30000000000001</c:v>
                </c:pt>
                <c:pt idx="616">
                  <c:v>132.25</c:v>
                </c:pt>
                <c:pt idx="617">
                  <c:v>126.82</c:v>
                </c:pt>
                <c:pt idx="618">
                  <c:v>134.08000000000001</c:v>
                </c:pt>
                <c:pt idx="619">
                  <c:v>136.25</c:v>
                </c:pt>
                <c:pt idx="620">
                  <c:v>138.47999999999999</c:v>
                </c:pt>
                <c:pt idx="621">
                  <c:v>144.16</c:v>
                </c:pt>
                <c:pt idx="622">
                  <c:v>136.76</c:v>
                </c:pt>
                <c:pt idx="623">
                  <c:v>135.01</c:v>
                </c:pt>
                <c:pt idx="624">
                  <c:v>131.77000000000001</c:v>
                </c:pt>
                <c:pt idx="625">
                  <c:v>136.71</c:v>
                </c:pt>
                <c:pt idx="626">
                  <c:v>135.49</c:v>
                </c:pt>
                <c:pt idx="627">
                  <c:v>136.85</c:v>
                </c:pt>
                <c:pt idx="628">
                  <c:v>137.19999999999999</c:v>
                </c:pt>
                <c:pt idx="629">
                  <c:v>138.81</c:v>
                </c:pt>
                <c:pt idx="630">
                  <c:v>138.41</c:v>
                </c:pt>
                <c:pt idx="631">
                  <c:v>140.91999999999999</c:v>
                </c:pt>
                <c:pt idx="632">
                  <c:v>140.77000000000001</c:v>
                </c:pt>
                <c:pt idx="633">
                  <c:v>140.31</c:v>
                </c:pt>
                <c:pt idx="634">
                  <c:v>144.15</c:v>
                </c:pt>
                <c:pt idx="635">
                  <c:v>148.28</c:v>
                </c:pt>
                <c:pt idx="636">
                  <c:v>153.18</c:v>
                </c:pt>
                <c:pt idx="637">
                  <c:v>152.77000000000001</c:v>
                </c:pt>
                <c:pt idx="638">
                  <c:v>154.5</c:v>
                </c:pt>
                <c:pt idx="639">
                  <c:v>153.47</c:v>
                </c:pt>
                <c:pt idx="640">
                  <c:v>156.34</c:v>
                </c:pt>
                <c:pt idx="641">
                  <c:v>158.44999999999999</c:v>
                </c:pt>
                <c:pt idx="642">
                  <c:v>157.91999999999999</c:v>
                </c:pt>
                <c:pt idx="643">
                  <c:v>156.24</c:v>
                </c:pt>
                <c:pt idx="644">
                  <c:v>161.44999999999999</c:v>
                </c:pt>
                <c:pt idx="645">
                  <c:v>167.91</c:v>
                </c:pt>
                <c:pt idx="646">
                  <c:v>167.86</c:v>
                </c:pt>
                <c:pt idx="647">
                  <c:v>166.79</c:v>
                </c:pt>
                <c:pt idx="648">
                  <c:v>162.22999999999999</c:v>
                </c:pt>
                <c:pt idx="649">
                  <c:v>167.25</c:v>
                </c:pt>
                <c:pt idx="650">
                  <c:v>166.98</c:v>
                </c:pt>
                <c:pt idx="651">
                  <c:v>169.58</c:v>
                </c:pt>
                <c:pt idx="652">
                  <c:v>172.75</c:v>
                </c:pt>
                <c:pt idx="653">
                  <c:v>173.5</c:v>
                </c:pt>
                <c:pt idx="654">
                  <c:v>170.42</c:v>
                </c:pt>
                <c:pt idx="655">
                  <c:v>174.36</c:v>
                </c:pt>
                <c:pt idx="656">
                  <c:v>186.16</c:v>
                </c:pt>
                <c:pt idx="657">
                  <c:v>185.93</c:v>
                </c:pt>
                <c:pt idx="658">
                  <c:v>182.78</c:v>
                </c:pt>
                <c:pt idx="659">
                  <c:v>184.7</c:v>
                </c:pt>
                <c:pt idx="660">
                  <c:v>185.09</c:v>
                </c:pt>
                <c:pt idx="661">
                  <c:v>187</c:v>
                </c:pt>
                <c:pt idx="662">
                  <c:v>189.95</c:v>
                </c:pt>
                <c:pt idx="663">
                  <c:v>187.44</c:v>
                </c:pt>
                <c:pt idx="664">
                  <c:v>187.87</c:v>
                </c:pt>
                <c:pt idx="665">
                  <c:v>186.18</c:v>
                </c:pt>
                <c:pt idx="666">
                  <c:v>191.79</c:v>
                </c:pt>
                <c:pt idx="667">
                  <c:v>186.3</c:v>
                </c:pt>
                <c:pt idx="668">
                  <c:v>175.47</c:v>
                </c:pt>
                <c:pt idx="669">
                  <c:v>165.37</c:v>
                </c:pt>
                <c:pt idx="670">
                  <c:v>153.76</c:v>
                </c:pt>
                <c:pt idx="671">
                  <c:v>169.96</c:v>
                </c:pt>
                <c:pt idx="672">
                  <c:v>166.11</c:v>
                </c:pt>
                <c:pt idx="673">
                  <c:v>164.3</c:v>
                </c:pt>
                <c:pt idx="674">
                  <c:v>166.39</c:v>
                </c:pt>
                <c:pt idx="675">
                  <c:v>163.95</c:v>
                </c:pt>
                <c:pt idx="676">
                  <c:v>168.85</c:v>
                </c:pt>
                <c:pt idx="677">
                  <c:v>168.46</c:v>
                </c:pt>
                <c:pt idx="678">
                  <c:v>171.54</c:v>
                </c:pt>
                <c:pt idx="679">
                  <c:v>172.54</c:v>
                </c:pt>
                <c:pt idx="680">
                  <c:v>174.81</c:v>
                </c:pt>
                <c:pt idx="681">
                  <c:v>180.22</c:v>
                </c:pt>
                <c:pt idx="682">
                  <c:v>184.29</c:v>
                </c:pt>
                <c:pt idx="683">
                  <c:v>182.22</c:v>
                </c:pt>
                <c:pt idx="684">
                  <c:v>178.86</c:v>
                </c:pt>
                <c:pt idx="685">
                  <c:v>179.81</c:v>
                </c:pt>
                <c:pt idx="686">
                  <c:v>185.5</c:v>
                </c:pt>
                <c:pt idx="687">
                  <c:v>189.95</c:v>
                </c:pt>
                <c:pt idx="688">
                  <c:v>194.3</c:v>
                </c:pt>
                <c:pt idx="689">
                  <c:v>194.21</c:v>
                </c:pt>
                <c:pt idx="690">
                  <c:v>188.54</c:v>
                </c:pt>
                <c:pt idx="691">
                  <c:v>190.86</c:v>
                </c:pt>
                <c:pt idx="692">
                  <c:v>191.83</c:v>
                </c:pt>
                <c:pt idx="693">
                  <c:v>190.39</c:v>
                </c:pt>
                <c:pt idx="694">
                  <c:v>184.4</c:v>
                </c:pt>
                <c:pt idx="695">
                  <c:v>182.98</c:v>
                </c:pt>
                <c:pt idx="696">
                  <c:v>183.12</c:v>
                </c:pt>
                <c:pt idx="697">
                  <c:v>187.21</c:v>
                </c:pt>
                <c:pt idx="698">
                  <c:v>193.91</c:v>
                </c:pt>
                <c:pt idx="699">
                  <c:v>198.8</c:v>
                </c:pt>
                <c:pt idx="700">
                  <c:v>198.95</c:v>
                </c:pt>
                <c:pt idx="701">
                  <c:v>198.57</c:v>
                </c:pt>
                <c:pt idx="702">
                  <c:v>199.83</c:v>
                </c:pt>
                <c:pt idx="703">
                  <c:v>198.08</c:v>
                </c:pt>
                <c:pt idx="704">
                  <c:v>194.84</c:v>
                </c:pt>
                <c:pt idx="705">
                  <c:v>194.93</c:v>
                </c:pt>
                <c:pt idx="706">
                  <c:v>180.05</c:v>
                </c:pt>
                <c:pt idx="707">
                  <c:v>177.64</c:v>
                </c:pt>
                <c:pt idx="708">
                  <c:v>171.25</c:v>
                </c:pt>
                <c:pt idx="709">
                  <c:v>179.4</c:v>
                </c:pt>
                <c:pt idx="710">
                  <c:v>178.02</c:v>
                </c:pt>
                <c:pt idx="711">
                  <c:v>172.69</c:v>
                </c:pt>
                <c:pt idx="712">
                  <c:v>178.78</c:v>
                </c:pt>
                <c:pt idx="713">
                  <c:v>169.04</c:v>
                </c:pt>
                <c:pt idx="714">
                  <c:v>159.63999999999999</c:v>
                </c:pt>
                <c:pt idx="715">
                  <c:v>160.88999999999999</c:v>
                </c:pt>
                <c:pt idx="716">
                  <c:v>161.36000000000001</c:v>
                </c:pt>
                <c:pt idx="717">
                  <c:v>155.63999999999999</c:v>
                </c:pt>
                <c:pt idx="718">
                  <c:v>139.07</c:v>
                </c:pt>
                <c:pt idx="719">
                  <c:v>135.6</c:v>
                </c:pt>
                <c:pt idx="720">
                  <c:v>130.01</c:v>
                </c:pt>
                <c:pt idx="721">
                  <c:v>130.01</c:v>
                </c:pt>
                <c:pt idx="722">
                  <c:v>131.54</c:v>
                </c:pt>
                <c:pt idx="723">
                  <c:v>132.18</c:v>
                </c:pt>
                <c:pt idx="724">
                  <c:v>135.36000000000001</c:v>
                </c:pt>
                <c:pt idx="725">
                  <c:v>133.75</c:v>
                </c:pt>
                <c:pt idx="726">
                  <c:v>131.65</c:v>
                </c:pt>
                <c:pt idx="727">
                  <c:v>129.36000000000001</c:v>
                </c:pt>
                <c:pt idx="728">
                  <c:v>122</c:v>
                </c:pt>
                <c:pt idx="729">
                  <c:v>121.24</c:v>
                </c:pt>
                <c:pt idx="730">
                  <c:v>125.48</c:v>
                </c:pt>
                <c:pt idx="731">
                  <c:v>129.44999999999999</c:v>
                </c:pt>
                <c:pt idx="732">
                  <c:v>124.86</c:v>
                </c:pt>
                <c:pt idx="733">
                  <c:v>129.4</c:v>
                </c:pt>
                <c:pt idx="734">
                  <c:v>127.46</c:v>
                </c:pt>
                <c:pt idx="735">
                  <c:v>124.63</c:v>
                </c:pt>
                <c:pt idx="736">
                  <c:v>122.18</c:v>
                </c:pt>
                <c:pt idx="737">
                  <c:v>123.82</c:v>
                </c:pt>
                <c:pt idx="738">
                  <c:v>121.54</c:v>
                </c:pt>
                <c:pt idx="739">
                  <c:v>119.46</c:v>
                </c:pt>
                <c:pt idx="740">
                  <c:v>119.74</c:v>
                </c:pt>
                <c:pt idx="741">
                  <c:v>119.15</c:v>
                </c:pt>
                <c:pt idx="742">
                  <c:v>122.96</c:v>
                </c:pt>
                <c:pt idx="743">
                  <c:v>129.91</c:v>
                </c:pt>
                <c:pt idx="744">
                  <c:v>125.02</c:v>
                </c:pt>
                <c:pt idx="745">
                  <c:v>121.73</c:v>
                </c:pt>
                <c:pt idx="746">
                  <c:v>124.62</c:v>
                </c:pt>
                <c:pt idx="747">
                  <c:v>124.49</c:v>
                </c:pt>
                <c:pt idx="748">
                  <c:v>120.93</c:v>
                </c:pt>
                <c:pt idx="749">
                  <c:v>122.25</c:v>
                </c:pt>
                <c:pt idx="750">
                  <c:v>119.69</c:v>
                </c:pt>
                <c:pt idx="751">
                  <c:v>127.35</c:v>
                </c:pt>
                <c:pt idx="752">
                  <c:v>126.03</c:v>
                </c:pt>
                <c:pt idx="753">
                  <c:v>127.94</c:v>
                </c:pt>
                <c:pt idx="754">
                  <c:v>126.61</c:v>
                </c:pt>
                <c:pt idx="755">
                  <c:v>126.73</c:v>
                </c:pt>
                <c:pt idx="756">
                  <c:v>132.82</c:v>
                </c:pt>
                <c:pt idx="757">
                  <c:v>129.66999999999999</c:v>
                </c:pt>
                <c:pt idx="758">
                  <c:v>133.27000000000001</c:v>
                </c:pt>
                <c:pt idx="759">
                  <c:v>139.53</c:v>
                </c:pt>
                <c:pt idx="760">
                  <c:v>140.97999999999999</c:v>
                </c:pt>
                <c:pt idx="761">
                  <c:v>145.06</c:v>
                </c:pt>
                <c:pt idx="762">
                  <c:v>140.25</c:v>
                </c:pt>
                <c:pt idx="763">
                  <c:v>143.01</c:v>
                </c:pt>
                <c:pt idx="764">
                  <c:v>143.5</c:v>
                </c:pt>
                <c:pt idx="765">
                  <c:v>149.53</c:v>
                </c:pt>
                <c:pt idx="766">
                  <c:v>147.49</c:v>
                </c:pt>
                <c:pt idx="767">
                  <c:v>151.61000000000001</c:v>
                </c:pt>
                <c:pt idx="768">
                  <c:v>153.08000000000001</c:v>
                </c:pt>
                <c:pt idx="769">
                  <c:v>155.88999999999999</c:v>
                </c:pt>
                <c:pt idx="770">
                  <c:v>152.84</c:v>
                </c:pt>
                <c:pt idx="771">
                  <c:v>151.44</c:v>
                </c:pt>
                <c:pt idx="772">
                  <c:v>154.55000000000001</c:v>
                </c:pt>
                <c:pt idx="773">
                  <c:v>147.13999999999999</c:v>
                </c:pt>
                <c:pt idx="774">
                  <c:v>147.78</c:v>
                </c:pt>
                <c:pt idx="775">
                  <c:v>148.38</c:v>
                </c:pt>
                <c:pt idx="776">
                  <c:v>153.69999999999999</c:v>
                </c:pt>
                <c:pt idx="777">
                  <c:v>154.49</c:v>
                </c:pt>
                <c:pt idx="778">
                  <c:v>161.04</c:v>
                </c:pt>
                <c:pt idx="779">
                  <c:v>168.16</c:v>
                </c:pt>
                <c:pt idx="780">
                  <c:v>160.19999999999999</c:v>
                </c:pt>
                <c:pt idx="781">
                  <c:v>162.88999999999999</c:v>
                </c:pt>
                <c:pt idx="782">
                  <c:v>168.94</c:v>
                </c:pt>
                <c:pt idx="783">
                  <c:v>169.73</c:v>
                </c:pt>
                <c:pt idx="784">
                  <c:v>172.24</c:v>
                </c:pt>
                <c:pt idx="785">
                  <c:v>175.05</c:v>
                </c:pt>
                <c:pt idx="786">
                  <c:v>173.95</c:v>
                </c:pt>
                <c:pt idx="787">
                  <c:v>180</c:v>
                </c:pt>
                <c:pt idx="788">
                  <c:v>180.94</c:v>
                </c:pt>
                <c:pt idx="789">
                  <c:v>184.73</c:v>
                </c:pt>
                <c:pt idx="790">
                  <c:v>186.66</c:v>
                </c:pt>
                <c:pt idx="791">
                  <c:v>182.59</c:v>
                </c:pt>
                <c:pt idx="792">
                  <c:v>185.06</c:v>
                </c:pt>
                <c:pt idx="793">
                  <c:v>183.45</c:v>
                </c:pt>
                <c:pt idx="794">
                  <c:v>188.16</c:v>
                </c:pt>
                <c:pt idx="795">
                  <c:v>189.96</c:v>
                </c:pt>
                <c:pt idx="796">
                  <c:v>186.26</c:v>
                </c:pt>
                <c:pt idx="797">
                  <c:v>189.73</c:v>
                </c:pt>
                <c:pt idx="798">
                  <c:v>187.62</c:v>
                </c:pt>
                <c:pt idx="799">
                  <c:v>183.6</c:v>
                </c:pt>
                <c:pt idx="800">
                  <c:v>185.9</c:v>
                </c:pt>
                <c:pt idx="801">
                  <c:v>178.19</c:v>
                </c:pt>
                <c:pt idx="802">
                  <c:v>177.05</c:v>
                </c:pt>
                <c:pt idx="803">
                  <c:v>181.17</c:v>
                </c:pt>
                <c:pt idx="804">
                  <c:v>186.43</c:v>
                </c:pt>
                <c:pt idx="805">
                  <c:v>187.01</c:v>
                </c:pt>
                <c:pt idx="806">
                  <c:v>186.69</c:v>
                </c:pt>
                <c:pt idx="807">
                  <c:v>188.75</c:v>
                </c:pt>
                <c:pt idx="808">
                  <c:v>186.1</c:v>
                </c:pt>
                <c:pt idx="809">
                  <c:v>185.37</c:v>
                </c:pt>
                <c:pt idx="810">
                  <c:v>185.19</c:v>
                </c:pt>
                <c:pt idx="811">
                  <c:v>189.43</c:v>
                </c:pt>
                <c:pt idx="812">
                  <c:v>185.64</c:v>
                </c:pt>
                <c:pt idx="813">
                  <c:v>181.61</c:v>
                </c:pt>
                <c:pt idx="814">
                  <c:v>185.64</c:v>
                </c:pt>
                <c:pt idx="815">
                  <c:v>180.81</c:v>
                </c:pt>
                <c:pt idx="816">
                  <c:v>173.26</c:v>
                </c:pt>
                <c:pt idx="817">
                  <c:v>172.37</c:v>
                </c:pt>
                <c:pt idx="818">
                  <c:v>176.84</c:v>
                </c:pt>
                <c:pt idx="819">
                  <c:v>181.43</c:v>
                </c:pt>
                <c:pt idx="820">
                  <c:v>178.75</c:v>
                </c:pt>
                <c:pt idx="821">
                  <c:v>180.9</c:v>
                </c:pt>
                <c:pt idx="822">
                  <c:v>175.27</c:v>
                </c:pt>
                <c:pt idx="823">
                  <c:v>173.16</c:v>
                </c:pt>
                <c:pt idx="824">
                  <c:v>173.25</c:v>
                </c:pt>
                <c:pt idx="825">
                  <c:v>177.39</c:v>
                </c:pt>
                <c:pt idx="826">
                  <c:v>168.26</c:v>
                </c:pt>
                <c:pt idx="827">
                  <c:v>170.09</c:v>
                </c:pt>
                <c:pt idx="828">
                  <c:v>167.44</c:v>
                </c:pt>
                <c:pt idx="829">
                  <c:v>174.68</c:v>
                </c:pt>
                <c:pt idx="830">
                  <c:v>168.18</c:v>
                </c:pt>
                <c:pt idx="831">
                  <c:v>170.12</c:v>
                </c:pt>
                <c:pt idx="832">
                  <c:v>175.16</c:v>
                </c:pt>
                <c:pt idx="833">
                  <c:v>179.55</c:v>
                </c:pt>
                <c:pt idx="834">
                  <c:v>174.25</c:v>
                </c:pt>
                <c:pt idx="835">
                  <c:v>176.63</c:v>
                </c:pt>
                <c:pt idx="836">
                  <c:v>172.58</c:v>
                </c:pt>
                <c:pt idx="837">
                  <c:v>173.88</c:v>
                </c:pt>
                <c:pt idx="838">
                  <c:v>169.64</c:v>
                </c:pt>
                <c:pt idx="839">
                  <c:v>172.81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30400"/>
        <c:axId val="56191232"/>
      </c:lineChart>
      <c:lineChart>
        <c:grouping val="standard"/>
        <c:varyColors val="0"/>
        <c:ser>
          <c:idx val="0"/>
          <c:order val="1"/>
          <c:tx>
            <c:v>Volatility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Volatility!$D$61:$D$900</c:f>
              <c:numCache>
                <c:formatCode>0.00%</c:formatCode>
                <c:ptCount val="840"/>
                <c:pt idx="0">
                  <c:v>0.49792374037107112</c:v>
                </c:pt>
                <c:pt idx="1">
                  <c:v>0.50081599047900727</c:v>
                </c:pt>
                <c:pt idx="2">
                  <c:v>0.50164687651697148</c:v>
                </c:pt>
                <c:pt idx="3">
                  <c:v>0.50239153732337816</c:v>
                </c:pt>
                <c:pt idx="4">
                  <c:v>0.4752350307896096</c:v>
                </c:pt>
                <c:pt idx="5">
                  <c:v>0.47560960337144631</c:v>
                </c:pt>
                <c:pt idx="6">
                  <c:v>0.4349159418819728</c:v>
                </c:pt>
                <c:pt idx="7">
                  <c:v>0.43448700253745304</c:v>
                </c:pt>
                <c:pt idx="8">
                  <c:v>0.40751630351597656</c:v>
                </c:pt>
                <c:pt idx="9">
                  <c:v>0.41151710229677285</c:v>
                </c:pt>
                <c:pt idx="10">
                  <c:v>0.41971840971589153</c:v>
                </c:pt>
                <c:pt idx="11">
                  <c:v>0.42223186998998991</c:v>
                </c:pt>
                <c:pt idx="12">
                  <c:v>0.42202503183925377</c:v>
                </c:pt>
                <c:pt idx="13">
                  <c:v>0.42420436685826401</c:v>
                </c:pt>
                <c:pt idx="14">
                  <c:v>0.42462370174907305</c:v>
                </c:pt>
                <c:pt idx="15">
                  <c:v>0.42822172831406696</c:v>
                </c:pt>
                <c:pt idx="16">
                  <c:v>0.42820748182201446</c:v>
                </c:pt>
                <c:pt idx="17">
                  <c:v>0.44607684737204856</c:v>
                </c:pt>
                <c:pt idx="18">
                  <c:v>0.44588095761895613</c:v>
                </c:pt>
                <c:pt idx="19">
                  <c:v>0.44856300648336001</c:v>
                </c:pt>
                <c:pt idx="20">
                  <c:v>0.52026790189777128</c:v>
                </c:pt>
                <c:pt idx="21">
                  <c:v>0.53302178844705339</c:v>
                </c:pt>
                <c:pt idx="22">
                  <c:v>0.53057303553925605</c:v>
                </c:pt>
                <c:pt idx="23">
                  <c:v>0.54127562105760052</c:v>
                </c:pt>
                <c:pt idx="24">
                  <c:v>0.5531471612076444</c:v>
                </c:pt>
                <c:pt idx="25">
                  <c:v>0.56376427668629336</c:v>
                </c:pt>
                <c:pt idx="26">
                  <c:v>0.57250678517351694</c:v>
                </c:pt>
                <c:pt idx="27">
                  <c:v>0.58404976985932444</c:v>
                </c:pt>
                <c:pt idx="28">
                  <c:v>0.57764529749932336</c:v>
                </c:pt>
                <c:pt idx="29">
                  <c:v>0.56510378735518874</c:v>
                </c:pt>
                <c:pt idx="30">
                  <c:v>0.55027499968728055</c:v>
                </c:pt>
                <c:pt idx="31">
                  <c:v>0.54897700040928454</c:v>
                </c:pt>
                <c:pt idx="32">
                  <c:v>0.5470815414193505</c:v>
                </c:pt>
                <c:pt idx="33">
                  <c:v>0.54670809814241184</c:v>
                </c:pt>
                <c:pt idx="34">
                  <c:v>0.55096860292992744</c:v>
                </c:pt>
                <c:pt idx="35">
                  <c:v>0.54219838781854612</c:v>
                </c:pt>
                <c:pt idx="36">
                  <c:v>0.54370511920712394</c:v>
                </c:pt>
                <c:pt idx="37">
                  <c:v>0.54368263852267129</c:v>
                </c:pt>
                <c:pt idx="38">
                  <c:v>0.54349686972739908</c:v>
                </c:pt>
                <c:pt idx="39">
                  <c:v>0.54566109066812918</c:v>
                </c:pt>
                <c:pt idx="40">
                  <c:v>0.55515834453179813</c:v>
                </c:pt>
                <c:pt idx="41">
                  <c:v>0.54187205946035266</c:v>
                </c:pt>
                <c:pt idx="42">
                  <c:v>0.54115950919913725</c:v>
                </c:pt>
                <c:pt idx="43">
                  <c:v>0.54113906083403596</c:v>
                </c:pt>
                <c:pt idx="44">
                  <c:v>0.52546721724465795</c:v>
                </c:pt>
                <c:pt idx="45">
                  <c:v>0.53639666122535279</c:v>
                </c:pt>
                <c:pt idx="46">
                  <c:v>0.53519652032993958</c:v>
                </c:pt>
                <c:pt idx="47">
                  <c:v>0.55712775321337049</c:v>
                </c:pt>
                <c:pt idx="48">
                  <c:v>0.55712231875434459</c:v>
                </c:pt>
                <c:pt idx="49">
                  <c:v>0.55540661867586572</c:v>
                </c:pt>
                <c:pt idx="50">
                  <c:v>0.55911416784906975</c:v>
                </c:pt>
                <c:pt idx="51">
                  <c:v>0.55463695682239333</c:v>
                </c:pt>
                <c:pt idx="52">
                  <c:v>0.55485588525581409</c:v>
                </c:pt>
                <c:pt idx="53">
                  <c:v>0.5540426240003804</c:v>
                </c:pt>
                <c:pt idx="54">
                  <c:v>0.55187357552145677</c:v>
                </c:pt>
                <c:pt idx="55">
                  <c:v>0.56478370238148679</c:v>
                </c:pt>
                <c:pt idx="56">
                  <c:v>0.56502971942451685</c:v>
                </c:pt>
                <c:pt idx="57">
                  <c:v>0.57270909169441409</c:v>
                </c:pt>
                <c:pt idx="58">
                  <c:v>0.57220792747748628</c:v>
                </c:pt>
                <c:pt idx="59">
                  <c:v>0.57051297404856705</c:v>
                </c:pt>
                <c:pt idx="60">
                  <c:v>0.58127476758606256</c:v>
                </c:pt>
                <c:pt idx="61">
                  <c:v>0.57979820320436215</c:v>
                </c:pt>
                <c:pt idx="62">
                  <c:v>0.57962423740531521</c:v>
                </c:pt>
                <c:pt idx="63">
                  <c:v>0.58373609836681351</c:v>
                </c:pt>
                <c:pt idx="64">
                  <c:v>0.58665716458979877</c:v>
                </c:pt>
                <c:pt idx="65">
                  <c:v>0.58129790776424661</c:v>
                </c:pt>
                <c:pt idx="66">
                  <c:v>0.58255852605774883</c:v>
                </c:pt>
                <c:pt idx="67">
                  <c:v>0.57279777354191985</c:v>
                </c:pt>
                <c:pt idx="68">
                  <c:v>0.57294262155511144</c:v>
                </c:pt>
                <c:pt idx="69">
                  <c:v>0.56459769921480818</c:v>
                </c:pt>
                <c:pt idx="70">
                  <c:v>0.50606611769609677</c:v>
                </c:pt>
                <c:pt idx="71">
                  <c:v>0.48730992232960929</c:v>
                </c:pt>
                <c:pt idx="72">
                  <c:v>0.48713933174105223</c:v>
                </c:pt>
                <c:pt idx="73">
                  <c:v>0.47982884170045426</c:v>
                </c:pt>
                <c:pt idx="74">
                  <c:v>0.46589783690314368</c:v>
                </c:pt>
                <c:pt idx="75">
                  <c:v>0.44944753584615721</c:v>
                </c:pt>
                <c:pt idx="76">
                  <c:v>0.44409131332427382</c:v>
                </c:pt>
                <c:pt idx="77">
                  <c:v>0.43275545323140036</c:v>
                </c:pt>
                <c:pt idx="78">
                  <c:v>0.42883556001202666</c:v>
                </c:pt>
                <c:pt idx="79">
                  <c:v>0.4303642004554486</c:v>
                </c:pt>
                <c:pt idx="80">
                  <c:v>0.42918585693813199</c:v>
                </c:pt>
                <c:pt idx="81">
                  <c:v>0.42771079969563175</c:v>
                </c:pt>
                <c:pt idx="82">
                  <c:v>0.42701522969700734</c:v>
                </c:pt>
                <c:pt idx="83">
                  <c:v>0.45588371205478062</c:v>
                </c:pt>
                <c:pt idx="84">
                  <c:v>0.45383360311553156</c:v>
                </c:pt>
                <c:pt idx="85">
                  <c:v>0.45208134441408859</c:v>
                </c:pt>
                <c:pt idx="86">
                  <c:v>0.46224244458369707</c:v>
                </c:pt>
                <c:pt idx="87">
                  <c:v>0.46176265117682719</c:v>
                </c:pt>
                <c:pt idx="88">
                  <c:v>0.46004986248403584</c:v>
                </c:pt>
                <c:pt idx="89">
                  <c:v>0.45566382594445493</c:v>
                </c:pt>
                <c:pt idx="90">
                  <c:v>0.43786582755712328</c:v>
                </c:pt>
                <c:pt idx="91">
                  <c:v>0.43691354434282104</c:v>
                </c:pt>
                <c:pt idx="92">
                  <c:v>0.43433374721653223</c:v>
                </c:pt>
                <c:pt idx="93">
                  <c:v>0.43417264888563373</c:v>
                </c:pt>
                <c:pt idx="94">
                  <c:v>0.44129616259967563</c:v>
                </c:pt>
                <c:pt idx="95">
                  <c:v>0.42497498033345921</c:v>
                </c:pt>
                <c:pt idx="96">
                  <c:v>0.42540975084375127</c:v>
                </c:pt>
                <c:pt idx="97">
                  <c:v>0.39811485142872527</c:v>
                </c:pt>
                <c:pt idx="98">
                  <c:v>0.39971191681616036</c:v>
                </c:pt>
                <c:pt idx="99">
                  <c:v>0.39994498760904612</c:v>
                </c:pt>
                <c:pt idx="100">
                  <c:v>0.39594736776987399</c:v>
                </c:pt>
                <c:pt idx="101">
                  <c:v>0.40187848697597728</c:v>
                </c:pt>
                <c:pt idx="102">
                  <c:v>0.39883337730305923</c:v>
                </c:pt>
                <c:pt idx="103">
                  <c:v>0.39899165501781669</c:v>
                </c:pt>
                <c:pt idx="104">
                  <c:v>0.41625081641938921</c:v>
                </c:pt>
                <c:pt idx="105">
                  <c:v>0.40208362520339269</c:v>
                </c:pt>
                <c:pt idx="106">
                  <c:v>0.41161768232242524</c:v>
                </c:pt>
                <c:pt idx="107">
                  <c:v>0.39768356565137836</c:v>
                </c:pt>
                <c:pt idx="108">
                  <c:v>0.40232634791916067</c:v>
                </c:pt>
                <c:pt idx="109">
                  <c:v>0.402073555753928</c:v>
                </c:pt>
                <c:pt idx="110">
                  <c:v>0.37362280339037707</c:v>
                </c:pt>
                <c:pt idx="111">
                  <c:v>0.37416218969206338</c:v>
                </c:pt>
                <c:pt idx="112">
                  <c:v>0.37429357696869503</c:v>
                </c:pt>
                <c:pt idx="113">
                  <c:v>0.36735097851273163</c:v>
                </c:pt>
                <c:pt idx="114">
                  <c:v>0.36505226711355826</c:v>
                </c:pt>
                <c:pt idx="115">
                  <c:v>0.36481940449180456</c:v>
                </c:pt>
                <c:pt idx="116">
                  <c:v>0.36112884682814905</c:v>
                </c:pt>
                <c:pt idx="117">
                  <c:v>0.36114014969252356</c:v>
                </c:pt>
                <c:pt idx="118">
                  <c:v>0.36224296496187425</c:v>
                </c:pt>
                <c:pt idx="119">
                  <c:v>0.3621620205177527</c:v>
                </c:pt>
                <c:pt idx="120">
                  <c:v>0.37590443674059121</c:v>
                </c:pt>
                <c:pt idx="121">
                  <c:v>0.37126735989360704</c:v>
                </c:pt>
                <c:pt idx="122">
                  <c:v>0.37406963770457391</c:v>
                </c:pt>
                <c:pt idx="123">
                  <c:v>0.36965833665692227</c:v>
                </c:pt>
                <c:pt idx="124">
                  <c:v>0.3696358141355725</c:v>
                </c:pt>
                <c:pt idx="125">
                  <c:v>0.37059880289854508</c:v>
                </c:pt>
                <c:pt idx="126">
                  <c:v>0.36822504458747596</c:v>
                </c:pt>
                <c:pt idx="127">
                  <c:v>0.36364831872973991</c:v>
                </c:pt>
                <c:pt idx="128">
                  <c:v>0.36794773694008337</c:v>
                </c:pt>
                <c:pt idx="129">
                  <c:v>0.37148294825171785</c:v>
                </c:pt>
                <c:pt idx="130">
                  <c:v>0.37053466275843655</c:v>
                </c:pt>
                <c:pt idx="131">
                  <c:v>0.37768663381467699</c:v>
                </c:pt>
                <c:pt idx="132">
                  <c:v>0.37859913681657081</c:v>
                </c:pt>
                <c:pt idx="133">
                  <c:v>0.35142411507999921</c:v>
                </c:pt>
                <c:pt idx="134">
                  <c:v>0.34976373864539451</c:v>
                </c:pt>
                <c:pt idx="135">
                  <c:v>0.35098737518012324</c:v>
                </c:pt>
                <c:pt idx="136">
                  <c:v>0.36294134465650574</c:v>
                </c:pt>
                <c:pt idx="137">
                  <c:v>0.36693678992879508</c:v>
                </c:pt>
                <c:pt idx="138">
                  <c:v>0.36958507368141152</c:v>
                </c:pt>
                <c:pt idx="139">
                  <c:v>0.36937450226580204</c:v>
                </c:pt>
                <c:pt idx="140">
                  <c:v>0.37152936437611644</c:v>
                </c:pt>
                <c:pt idx="141">
                  <c:v>0.3757757373784481</c:v>
                </c:pt>
                <c:pt idx="142">
                  <c:v>0.38131744458051198</c:v>
                </c:pt>
                <c:pt idx="143">
                  <c:v>0.3819378196899903</c:v>
                </c:pt>
                <c:pt idx="144">
                  <c:v>0.37774966339123234</c:v>
                </c:pt>
                <c:pt idx="145">
                  <c:v>0.38181229578359172</c:v>
                </c:pt>
                <c:pt idx="146">
                  <c:v>0.40465362811809807</c:v>
                </c:pt>
                <c:pt idx="147">
                  <c:v>0.46469584803124309</c:v>
                </c:pt>
                <c:pt idx="148">
                  <c:v>0.46253737438032483</c:v>
                </c:pt>
                <c:pt idx="149">
                  <c:v>0.46430011916972952</c:v>
                </c:pt>
                <c:pt idx="150">
                  <c:v>0.46915211009698515</c:v>
                </c:pt>
                <c:pt idx="151">
                  <c:v>0.48215408444695129</c:v>
                </c:pt>
                <c:pt idx="152">
                  <c:v>0.48260320648615262</c:v>
                </c:pt>
                <c:pt idx="153">
                  <c:v>0.48335045621109601</c:v>
                </c:pt>
                <c:pt idx="154">
                  <c:v>0.47137841522066615</c:v>
                </c:pt>
                <c:pt idx="155">
                  <c:v>0.46625199832400682</c:v>
                </c:pt>
                <c:pt idx="156">
                  <c:v>0.45814611374318231</c:v>
                </c:pt>
                <c:pt idx="157">
                  <c:v>0.46473067010564684</c:v>
                </c:pt>
                <c:pt idx="158">
                  <c:v>0.46436820955618929</c:v>
                </c:pt>
                <c:pt idx="159">
                  <c:v>0.4838736994170571</c:v>
                </c:pt>
                <c:pt idx="160">
                  <c:v>0.48405706069756482</c:v>
                </c:pt>
                <c:pt idx="161">
                  <c:v>0.49388652927737298</c:v>
                </c:pt>
                <c:pt idx="162">
                  <c:v>0.49856909989606146</c:v>
                </c:pt>
                <c:pt idx="163">
                  <c:v>0.50077949409235878</c:v>
                </c:pt>
                <c:pt idx="164">
                  <c:v>0.50280334432661877</c:v>
                </c:pt>
                <c:pt idx="165">
                  <c:v>0.50360829239454952</c:v>
                </c:pt>
                <c:pt idx="166">
                  <c:v>0.5028031227181603</c:v>
                </c:pt>
                <c:pt idx="167">
                  <c:v>0.50392686536949394</c:v>
                </c:pt>
                <c:pt idx="168">
                  <c:v>0.50124096379712213</c:v>
                </c:pt>
                <c:pt idx="169">
                  <c:v>0.50130203133148921</c:v>
                </c:pt>
                <c:pt idx="170">
                  <c:v>0.48362043748135197</c:v>
                </c:pt>
                <c:pt idx="171">
                  <c:v>0.49340204030515422</c:v>
                </c:pt>
                <c:pt idx="172">
                  <c:v>0.49236194299106439</c:v>
                </c:pt>
                <c:pt idx="173">
                  <c:v>0.48760364553154584</c:v>
                </c:pt>
                <c:pt idx="174">
                  <c:v>0.4875581008570738</c:v>
                </c:pt>
                <c:pt idx="175">
                  <c:v>0.48817828679606134</c:v>
                </c:pt>
                <c:pt idx="176">
                  <c:v>0.48142547920385753</c:v>
                </c:pt>
                <c:pt idx="177">
                  <c:v>0.48676694082415228</c:v>
                </c:pt>
                <c:pt idx="178">
                  <c:v>0.48367677458019959</c:v>
                </c:pt>
                <c:pt idx="179">
                  <c:v>0.48614838712551167</c:v>
                </c:pt>
                <c:pt idx="180">
                  <c:v>0.48656360731464715</c:v>
                </c:pt>
                <c:pt idx="181">
                  <c:v>0.49927763412557963</c:v>
                </c:pt>
                <c:pt idx="182">
                  <c:v>0.49889056354894357</c:v>
                </c:pt>
                <c:pt idx="183">
                  <c:v>0.49867544246518758</c:v>
                </c:pt>
                <c:pt idx="184">
                  <c:v>0.50285198851087254</c:v>
                </c:pt>
                <c:pt idx="185">
                  <c:v>0.50187059237569931</c:v>
                </c:pt>
                <c:pt idx="186">
                  <c:v>0.48148890274992112</c:v>
                </c:pt>
                <c:pt idx="187">
                  <c:v>0.47932582570441939</c:v>
                </c:pt>
                <c:pt idx="188">
                  <c:v>0.47704912623962603</c:v>
                </c:pt>
                <c:pt idx="189">
                  <c:v>0.47668802712405911</c:v>
                </c:pt>
                <c:pt idx="190">
                  <c:v>0.49062379920172483</c:v>
                </c:pt>
                <c:pt idx="191">
                  <c:v>0.48623778001775514</c:v>
                </c:pt>
                <c:pt idx="192">
                  <c:v>0.48411208002034389</c:v>
                </c:pt>
                <c:pt idx="193">
                  <c:v>0.48260185557902335</c:v>
                </c:pt>
                <c:pt idx="194">
                  <c:v>0.47776525844490281</c:v>
                </c:pt>
                <c:pt idx="195">
                  <c:v>0.47667864582125297</c:v>
                </c:pt>
                <c:pt idx="196">
                  <c:v>0.45329644225959814</c:v>
                </c:pt>
                <c:pt idx="197">
                  <c:v>0.39962819258306825</c:v>
                </c:pt>
                <c:pt idx="198">
                  <c:v>0.39990380663506875</c:v>
                </c:pt>
                <c:pt idx="199">
                  <c:v>0.39945688763836112</c:v>
                </c:pt>
                <c:pt idx="200">
                  <c:v>0.40305975566345265</c:v>
                </c:pt>
                <c:pt idx="201">
                  <c:v>0.38376912551540532</c:v>
                </c:pt>
                <c:pt idx="202">
                  <c:v>0.39204386493896648</c:v>
                </c:pt>
                <c:pt idx="203">
                  <c:v>0.39014163145504427</c:v>
                </c:pt>
                <c:pt idx="204">
                  <c:v>0.38991583643469419</c:v>
                </c:pt>
                <c:pt idx="205">
                  <c:v>0.39053279486965298</c:v>
                </c:pt>
                <c:pt idx="206">
                  <c:v>0.39029708799594215</c:v>
                </c:pt>
                <c:pt idx="207">
                  <c:v>0.40647436393371139</c:v>
                </c:pt>
                <c:pt idx="208">
                  <c:v>0.40825113388825274</c:v>
                </c:pt>
                <c:pt idx="209">
                  <c:v>0.38717371513636589</c:v>
                </c:pt>
                <c:pt idx="210">
                  <c:v>0.38687619175498306</c:v>
                </c:pt>
                <c:pt idx="211">
                  <c:v>0.37850541673346488</c:v>
                </c:pt>
                <c:pt idx="212">
                  <c:v>0.3830414774646711</c:v>
                </c:pt>
                <c:pt idx="213">
                  <c:v>0.40236150204673432</c:v>
                </c:pt>
                <c:pt idx="214">
                  <c:v>0.41548973485122881</c:v>
                </c:pt>
                <c:pt idx="215">
                  <c:v>0.41669913490296157</c:v>
                </c:pt>
                <c:pt idx="216">
                  <c:v>0.42275235210861956</c:v>
                </c:pt>
                <c:pt idx="217">
                  <c:v>0.42843582112284995</c:v>
                </c:pt>
                <c:pt idx="218">
                  <c:v>0.43567420432108478</c:v>
                </c:pt>
                <c:pt idx="219">
                  <c:v>0.43595099857063024</c:v>
                </c:pt>
                <c:pt idx="220">
                  <c:v>0.44664037763344744</c:v>
                </c:pt>
                <c:pt idx="221">
                  <c:v>0.43412959855228755</c:v>
                </c:pt>
                <c:pt idx="222">
                  <c:v>0.43347592976736127</c:v>
                </c:pt>
                <c:pt idx="223">
                  <c:v>0.45255655281238893</c:v>
                </c:pt>
                <c:pt idx="224">
                  <c:v>0.45267742222578961</c:v>
                </c:pt>
                <c:pt idx="225">
                  <c:v>0.4838346579610755</c:v>
                </c:pt>
                <c:pt idx="226">
                  <c:v>0.48339926994568383</c:v>
                </c:pt>
                <c:pt idx="227">
                  <c:v>0.47755503151349771</c:v>
                </c:pt>
                <c:pt idx="228">
                  <c:v>0.50200223625124818</c:v>
                </c:pt>
                <c:pt idx="229">
                  <c:v>0.50831473180484321</c:v>
                </c:pt>
                <c:pt idx="230">
                  <c:v>0.51914242331672467</c:v>
                </c:pt>
                <c:pt idx="231">
                  <c:v>0.51190784946575274</c:v>
                </c:pt>
                <c:pt idx="232">
                  <c:v>0.51443104006495133</c:v>
                </c:pt>
                <c:pt idx="233">
                  <c:v>0.51650753223750456</c:v>
                </c:pt>
                <c:pt idx="234">
                  <c:v>0.50948447671450003</c:v>
                </c:pt>
                <c:pt idx="235">
                  <c:v>0.51139026351253292</c:v>
                </c:pt>
                <c:pt idx="236">
                  <c:v>0.5191909907312573</c:v>
                </c:pt>
                <c:pt idx="237">
                  <c:v>0.51939651312521273</c:v>
                </c:pt>
                <c:pt idx="238">
                  <c:v>0.51894085872615581</c:v>
                </c:pt>
                <c:pt idx="239">
                  <c:v>0.51913697524770575</c:v>
                </c:pt>
                <c:pt idx="240">
                  <c:v>0.51670198708234905</c:v>
                </c:pt>
                <c:pt idx="241">
                  <c:v>0.51731622420065393</c:v>
                </c:pt>
                <c:pt idx="242">
                  <c:v>0.51630701712348825</c:v>
                </c:pt>
                <c:pt idx="243">
                  <c:v>0.5213109787448692</c:v>
                </c:pt>
                <c:pt idx="244">
                  <c:v>0.52768256412124281</c:v>
                </c:pt>
                <c:pt idx="245">
                  <c:v>0.52604407105460083</c:v>
                </c:pt>
                <c:pt idx="246">
                  <c:v>0.52584600565134887</c:v>
                </c:pt>
                <c:pt idx="247">
                  <c:v>0.52965455393111505</c:v>
                </c:pt>
                <c:pt idx="248">
                  <c:v>0.52861726029703082</c:v>
                </c:pt>
                <c:pt idx="249">
                  <c:v>0.54029075047229214</c:v>
                </c:pt>
                <c:pt idx="250">
                  <c:v>0.53987559439128274</c:v>
                </c:pt>
                <c:pt idx="251">
                  <c:v>0.54101398225202924</c:v>
                </c:pt>
                <c:pt idx="252">
                  <c:v>0.53426234354420332</c:v>
                </c:pt>
                <c:pt idx="253">
                  <c:v>0.53451098394241592</c:v>
                </c:pt>
                <c:pt idx="254">
                  <c:v>0.53472734822169421</c:v>
                </c:pt>
                <c:pt idx="255">
                  <c:v>0.53554551862702904</c:v>
                </c:pt>
                <c:pt idx="256">
                  <c:v>0.53556565505710219</c:v>
                </c:pt>
                <c:pt idx="257">
                  <c:v>0.5068614410518808</c:v>
                </c:pt>
                <c:pt idx="258">
                  <c:v>0.49300974502654432</c:v>
                </c:pt>
                <c:pt idx="259">
                  <c:v>0.49201704341192187</c:v>
                </c:pt>
                <c:pt idx="260">
                  <c:v>0.48845167457642608</c:v>
                </c:pt>
                <c:pt idx="261">
                  <c:v>0.5211564894214854</c:v>
                </c:pt>
                <c:pt idx="262">
                  <c:v>0.51919472863142957</c:v>
                </c:pt>
                <c:pt idx="263">
                  <c:v>0.50906339430533476</c:v>
                </c:pt>
                <c:pt idx="264">
                  <c:v>0.500718033225383</c:v>
                </c:pt>
                <c:pt idx="265">
                  <c:v>0.49895934935608499</c:v>
                </c:pt>
                <c:pt idx="266">
                  <c:v>0.56381447242996641</c:v>
                </c:pt>
                <c:pt idx="267">
                  <c:v>0.5836950110871062</c:v>
                </c:pt>
                <c:pt idx="268">
                  <c:v>0.58228261253528824</c:v>
                </c:pt>
                <c:pt idx="269">
                  <c:v>0.58371607512170487</c:v>
                </c:pt>
                <c:pt idx="270">
                  <c:v>0.57289305261921064</c:v>
                </c:pt>
                <c:pt idx="271">
                  <c:v>0.57419698839311328</c:v>
                </c:pt>
                <c:pt idx="272">
                  <c:v>0.574193736575767</c:v>
                </c:pt>
                <c:pt idx="273">
                  <c:v>0.56573049198373648</c:v>
                </c:pt>
                <c:pt idx="274">
                  <c:v>0.56930876399769959</c:v>
                </c:pt>
                <c:pt idx="275">
                  <c:v>0.54193078966008756</c:v>
                </c:pt>
                <c:pt idx="276">
                  <c:v>0.54791448780806951</c:v>
                </c:pt>
                <c:pt idx="277">
                  <c:v>0.54620189246629858</c:v>
                </c:pt>
                <c:pt idx="278">
                  <c:v>0.525738247950719</c:v>
                </c:pt>
                <c:pt idx="279">
                  <c:v>0.51690684065330228</c:v>
                </c:pt>
                <c:pt idx="280">
                  <c:v>0.5116175115962569</c:v>
                </c:pt>
                <c:pt idx="281">
                  <c:v>0.49975749472831249</c:v>
                </c:pt>
                <c:pt idx="282">
                  <c:v>0.49745023357460272</c:v>
                </c:pt>
                <c:pt idx="283">
                  <c:v>0.49562071782678629</c:v>
                </c:pt>
                <c:pt idx="284">
                  <c:v>0.50159295975425267</c:v>
                </c:pt>
                <c:pt idx="285">
                  <c:v>0.4996098948177588</c:v>
                </c:pt>
                <c:pt idx="286">
                  <c:v>0.4920895539612794</c:v>
                </c:pt>
                <c:pt idx="287">
                  <c:v>0.49267115059597116</c:v>
                </c:pt>
                <c:pt idx="288">
                  <c:v>0.49254226688371344</c:v>
                </c:pt>
                <c:pt idx="289">
                  <c:v>0.49331301351627505</c:v>
                </c:pt>
                <c:pt idx="290">
                  <c:v>0.4836537964617465</c:v>
                </c:pt>
                <c:pt idx="291">
                  <c:v>0.49268248003809395</c:v>
                </c:pt>
                <c:pt idx="292">
                  <c:v>0.49251740984777281</c:v>
                </c:pt>
                <c:pt idx="293">
                  <c:v>0.48688549091553601</c:v>
                </c:pt>
                <c:pt idx="294">
                  <c:v>0.49190589070027607</c:v>
                </c:pt>
                <c:pt idx="295">
                  <c:v>0.49081368932048336</c:v>
                </c:pt>
                <c:pt idx="296">
                  <c:v>0.49780305679278769</c:v>
                </c:pt>
                <c:pt idx="297">
                  <c:v>0.49592197043570924</c:v>
                </c:pt>
                <c:pt idx="298">
                  <c:v>0.49725845674221192</c:v>
                </c:pt>
                <c:pt idx="299">
                  <c:v>0.48580793659688576</c:v>
                </c:pt>
                <c:pt idx="300">
                  <c:v>0.48085578411714175</c:v>
                </c:pt>
                <c:pt idx="301">
                  <c:v>0.48109887397007955</c:v>
                </c:pt>
                <c:pt idx="302">
                  <c:v>0.47562924164194964</c:v>
                </c:pt>
                <c:pt idx="303">
                  <c:v>0.48577025037972343</c:v>
                </c:pt>
                <c:pt idx="304">
                  <c:v>0.48907703381117607</c:v>
                </c:pt>
                <c:pt idx="305">
                  <c:v>0.49242302108010205</c:v>
                </c:pt>
                <c:pt idx="306">
                  <c:v>0.49290218897955002</c:v>
                </c:pt>
                <c:pt idx="307">
                  <c:v>0.49388435447114792</c:v>
                </c:pt>
                <c:pt idx="308">
                  <c:v>0.49396436809105021</c:v>
                </c:pt>
                <c:pt idx="309">
                  <c:v>0.49639489237829909</c:v>
                </c:pt>
                <c:pt idx="310">
                  <c:v>0.50501287243405579</c:v>
                </c:pt>
                <c:pt idx="311">
                  <c:v>0.48264104439910543</c:v>
                </c:pt>
                <c:pt idx="312">
                  <c:v>0.49262866498480867</c:v>
                </c:pt>
                <c:pt idx="313">
                  <c:v>0.4972281364203604</c:v>
                </c:pt>
                <c:pt idx="314">
                  <c:v>0.49810864281314271</c:v>
                </c:pt>
                <c:pt idx="315">
                  <c:v>0.50159019175227626</c:v>
                </c:pt>
                <c:pt idx="316">
                  <c:v>0.43510103419101287</c:v>
                </c:pt>
                <c:pt idx="317">
                  <c:v>0.40093339186009874</c:v>
                </c:pt>
                <c:pt idx="318">
                  <c:v>0.39914984248208168</c:v>
                </c:pt>
                <c:pt idx="319">
                  <c:v>0.39869901425594706</c:v>
                </c:pt>
                <c:pt idx="320">
                  <c:v>0.4079077777537683</c:v>
                </c:pt>
                <c:pt idx="321">
                  <c:v>0.40637027843673557</c:v>
                </c:pt>
                <c:pt idx="322">
                  <c:v>0.4066027018951725</c:v>
                </c:pt>
                <c:pt idx="323">
                  <c:v>0.40725636232615409</c:v>
                </c:pt>
                <c:pt idx="324">
                  <c:v>0.40622521922528421</c:v>
                </c:pt>
                <c:pt idx="325">
                  <c:v>0.43189579453594956</c:v>
                </c:pt>
                <c:pt idx="326">
                  <c:v>0.42886784011749385</c:v>
                </c:pt>
                <c:pt idx="327">
                  <c:v>0.43052228671726228</c:v>
                </c:pt>
                <c:pt idx="328">
                  <c:v>0.42976411237703505</c:v>
                </c:pt>
                <c:pt idx="329">
                  <c:v>0.43199840543814205</c:v>
                </c:pt>
                <c:pt idx="330">
                  <c:v>0.42242320284992757</c:v>
                </c:pt>
                <c:pt idx="331">
                  <c:v>0.4182104468183373</c:v>
                </c:pt>
                <c:pt idx="332">
                  <c:v>0.41725466557117774</c:v>
                </c:pt>
                <c:pt idx="333">
                  <c:v>0.4342132417164018</c:v>
                </c:pt>
                <c:pt idx="334">
                  <c:v>0.42439237820905062</c:v>
                </c:pt>
                <c:pt idx="335">
                  <c:v>0.42948392106605082</c:v>
                </c:pt>
                <c:pt idx="336">
                  <c:v>0.44244223124076953</c:v>
                </c:pt>
                <c:pt idx="337">
                  <c:v>0.44228724955307164</c:v>
                </c:pt>
                <c:pt idx="338">
                  <c:v>0.44871037735308339</c:v>
                </c:pt>
                <c:pt idx="339">
                  <c:v>0.54917205397570057</c:v>
                </c:pt>
                <c:pt idx="340">
                  <c:v>0.54942084226997767</c:v>
                </c:pt>
                <c:pt idx="341">
                  <c:v>0.5434383312442187</c:v>
                </c:pt>
                <c:pt idx="342">
                  <c:v>0.54400001868443815</c:v>
                </c:pt>
                <c:pt idx="343">
                  <c:v>0.55105681482131819</c:v>
                </c:pt>
                <c:pt idx="344">
                  <c:v>0.53959032638412596</c:v>
                </c:pt>
                <c:pt idx="345">
                  <c:v>0.54744583705092908</c:v>
                </c:pt>
                <c:pt idx="346">
                  <c:v>0.54815897664981439</c:v>
                </c:pt>
                <c:pt idx="347">
                  <c:v>0.5466127460646798</c:v>
                </c:pt>
                <c:pt idx="348">
                  <c:v>0.54541631788557376</c:v>
                </c:pt>
                <c:pt idx="349">
                  <c:v>0.54769928909353571</c:v>
                </c:pt>
                <c:pt idx="350">
                  <c:v>0.55052091418325211</c:v>
                </c:pt>
                <c:pt idx="351">
                  <c:v>0.55115381702336819</c:v>
                </c:pt>
                <c:pt idx="352">
                  <c:v>0.55945910213832206</c:v>
                </c:pt>
                <c:pt idx="353">
                  <c:v>0.55226963468529255</c:v>
                </c:pt>
                <c:pt idx="354">
                  <c:v>0.54830553988791053</c:v>
                </c:pt>
                <c:pt idx="355">
                  <c:v>0.53856533080936353</c:v>
                </c:pt>
                <c:pt idx="356">
                  <c:v>0.53813304543003404</c:v>
                </c:pt>
                <c:pt idx="357">
                  <c:v>0.54196529822197792</c:v>
                </c:pt>
                <c:pt idx="358">
                  <c:v>0.54449640967633028</c:v>
                </c:pt>
                <c:pt idx="359">
                  <c:v>0.54156553857803857</c:v>
                </c:pt>
                <c:pt idx="360">
                  <c:v>0.53343031040739475</c:v>
                </c:pt>
                <c:pt idx="361">
                  <c:v>0.53159364833460865</c:v>
                </c:pt>
                <c:pt idx="362">
                  <c:v>0.52063163858251404</c:v>
                </c:pt>
                <c:pt idx="363">
                  <c:v>0.51821404081321787</c:v>
                </c:pt>
                <c:pt idx="364">
                  <c:v>0.5166240967008463</c:v>
                </c:pt>
                <c:pt idx="365">
                  <c:v>0.51210498506161484</c:v>
                </c:pt>
                <c:pt idx="366">
                  <c:v>0.50978086371885734</c:v>
                </c:pt>
                <c:pt idx="367">
                  <c:v>0.50995721012264583</c:v>
                </c:pt>
                <c:pt idx="368">
                  <c:v>0.5100631926613437</c:v>
                </c:pt>
                <c:pt idx="369">
                  <c:v>0.51070827981321498</c:v>
                </c:pt>
                <c:pt idx="370">
                  <c:v>0.50580016996571131</c:v>
                </c:pt>
                <c:pt idx="371">
                  <c:v>0.51619527997249703</c:v>
                </c:pt>
                <c:pt idx="372">
                  <c:v>0.52038243768858827</c:v>
                </c:pt>
                <c:pt idx="373">
                  <c:v>0.5221713197064437</c:v>
                </c:pt>
                <c:pt idx="374">
                  <c:v>0.51635326352808564</c:v>
                </c:pt>
                <c:pt idx="375">
                  <c:v>0.5005742956320387</c:v>
                </c:pt>
                <c:pt idx="376">
                  <c:v>0.492108189180953</c:v>
                </c:pt>
                <c:pt idx="377">
                  <c:v>0.49380913475695692</c:v>
                </c:pt>
                <c:pt idx="378">
                  <c:v>0.49049682952127305</c:v>
                </c:pt>
                <c:pt idx="379">
                  <c:v>0.48512520797619552</c:v>
                </c:pt>
                <c:pt idx="380">
                  <c:v>0.48451100269914682</c:v>
                </c:pt>
                <c:pt idx="381">
                  <c:v>0.48362421601252809</c:v>
                </c:pt>
                <c:pt idx="382">
                  <c:v>0.48488250287979362</c:v>
                </c:pt>
                <c:pt idx="383">
                  <c:v>0.46188687022395114</c:v>
                </c:pt>
                <c:pt idx="384">
                  <c:v>0.46540060673390793</c:v>
                </c:pt>
                <c:pt idx="385">
                  <c:v>0.46079677922326862</c:v>
                </c:pt>
                <c:pt idx="386">
                  <c:v>0.4578658009519988</c:v>
                </c:pt>
                <c:pt idx="387">
                  <c:v>0.46217218691450318</c:v>
                </c:pt>
                <c:pt idx="388">
                  <c:v>0.46030399820806966</c:v>
                </c:pt>
                <c:pt idx="389">
                  <c:v>0.3587310876640446</c:v>
                </c:pt>
                <c:pt idx="390">
                  <c:v>0.36948029922723863</c:v>
                </c:pt>
                <c:pt idx="391">
                  <c:v>0.37101326146922375</c:v>
                </c:pt>
                <c:pt idx="392">
                  <c:v>0.37265764734571427</c:v>
                </c:pt>
                <c:pt idx="393">
                  <c:v>0.36633892014164643</c:v>
                </c:pt>
                <c:pt idx="394">
                  <c:v>0.36651676391533705</c:v>
                </c:pt>
                <c:pt idx="395">
                  <c:v>0.35663045953054373</c:v>
                </c:pt>
                <c:pt idx="396">
                  <c:v>0.34666552507509324</c:v>
                </c:pt>
                <c:pt idx="397">
                  <c:v>0.34576878026079283</c:v>
                </c:pt>
                <c:pt idx="398">
                  <c:v>0.35101002438440804</c:v>
                </c:pt>
                <c:pt idx="399">
                  <c:v>0.34741126649489118</c:v>
                </c:pt>
                <c:pt idx="400">
                  <c:v>0.34301704452747112</c:v>
                </c:pt>
                <c:pt idx="401">
                  <c:v>0.34254045986365927</c:v>
                </c:pt>
                <c:pt idx="402">
                  <c:v>0.32538564275920168</c:v>
                </c:pt>
                <c:pt idx="403">
                  <c:v>0.35270229734623149</c:v>
                </c:pt>
                <c:pt idx="404">
                  <c:v>0.35322363913570892</c:v>
                </c:pt>
                <c:pt idx="405">
                  <c:v>0.35396172359100603</c:v>
                </c:pt>
                <c:pt idx="406">
                  <c:v>0.35498733686063999</c:v>
                </c:pt>
                <c:pt idx="407">
                  <c:v>0.34271139073772156</c:v>
                </c:pt>
                <c:pt idx="408">
                  <c:v>0.33890399262836884</c:v>
                </c:pt>
                <c:pt idx="409">
                  <c:v>0.34504270541484483</c:v>
                </c:pt>
                <c:pt idx="410">
                  <c:v>0.34514234959372508</c:v>
                </c:pt>
                <c:pt idx="411">
                  <c:v>0.33922746505832441</c:v>
                </c:pt>
                <c:pt idx="412">
                  <c:v>0.34582710611622025</c:v>
                </c:pt>
                <c:pt idx="413">
                  <c:v>0.3454968324186995</c:v>
                </c:pt>
                <c:pt idx="414">
                  <c:v>0.346792768815049</c:v>
                </c:pt>
                <c:pt idx="415">
                  <c:v>0.34796176717322069</c:v>
                </c:pt>
                <c:pt idx="416">
                  <c:v>0.33907103057792809</c:v>
                </c:pt>
                <c:pt idx="417">
                  <c:v>0.34192404913227925</c:v>
                </c:pt>
                <c:pt idx="418">
                  <c:v>0.34228071489557949</c:v>
                </c:pt>
                <c:pt idx="419">
                  <c:v>0.34191420480814416</c:v>
                </c:pt>
                <c:pt idx="420">
                  <c:v>0.34298211495839775</c:v>
                </c:pt>
                <c:pt idx="421">
                  <c:v>0.32484618150993183</c:v>
                </c:pt>
                <c:pt idx="422">
                  <c:v>0.32069765561813912</c:v>
                </c:pt>
                <c:pt idx="423">
                  <c:v>0.3085515545176542</c:v>
                </c:pt>
                <c:pt idx="424">
                  <c:v>0.30793492662481026</c:v>
                </c:pt>
                <c:pt idx="425">
                  <c:v>0.30793683509714043</c:v>
                </c:pt>
                <c:pt idx="426">
                  <c:v>0.31297424897453396</c:v>
                </c:pt>
                <c:pt idx="427">
                  <c:v>0.31209251951163319</c:v>
                </c:pt>
                <c:pt idx="428">
                  <c:v>0.31314952100635762</c:v>
                </c:pt>
                <c:pt idx="429">
                  <c:v>0.32146937008479715</c:v>
                </c:pt>
                <c:pt idx="430">
                  <c:v>0.32598131674128278</c:v>
                </c:pt>
                <c:pt idx="431">
                  <c:v>0.32580020434391582</c:v>
                </c:pt>
                <c:pt idx="432">
                  <c:v>0.32329208805154197</c:v>
                </c:pt>
                <c:pt idx="433">
                  <c:v>0.32228036959132789</c:v>
                </c:pt>
                <c:pt idx="434">
                  <c:v>0.31449635556504696</c:v>
                </c:pt>
                <c:pt idx="435">
                  <c:v>0.30148018819405331</c:v>
                </c:pt>
                <c:pt idx="436">
                  <c:v>0.30063427691056183</c:v>
                </c:pt>
                <c:pt idx="437">
                  <c:v>0.31087817167379456</c:v>
                </c:pt>
                <c:pt idx="438">
                  <c:v>0.3120745584204393</c:v>
                </c:pt>
                <c:pt idx="439">
                  <c:v>0.31204444207166593</c:v>
                </c:pt>
                <c:pt idx="440">
                  <c:v>0.31349734938444151</c:v>
                </c:pt>
                <c:pt idx="441">
                  <c:v>0.32182907098041824</c:v>
                </c:pt>
                <c:pt idx="442">
                  <c:v>0.32053019394813509</c:v>
                </c:pt>
                <c:pt idx="443">
                  <c:v>0.32109281857003558</c:v>
                </c:pt>
                <c:pt idx="444">
                  <c:v>0.32928212923700517</c:v>
                </c:pt>
                <c:pt idx="445">
                  <c:v>0.32974356790430936</c:v>
                </c:pt>
                <c:pt idx="446">
                  <c:v>0.33251582221774456</c:v>
                </c:pt>
                <c:pt idx="447">
                  <c:v>0.3381264497255641</c:v>
                </c:pt>
                <c:pt idx="448">
                  <c:v>0.33230771634658712</c:v>
                </c:pt>
                <c:pt idx="449">
                  <c:v>0.33318951193035412</c:v>
                </c:pt>
                <c:pt idx="450">
                  <c:v>0.3330817615478649</c:v>
                </c:pt>
                <c:pt idx="451">
                  <c:v>0.33108419293359015</c:v>
                </c:pt>
                <c:pt idx="452">
                  <c:v>0.35386380348426721</c:v>
                </c:pt>
                <c:pt idx="453">
                  <c:v>0.32120310327938983</c:v>
                </c:pt>
                <c:pt idx="454">
                  <c:v>0.32478592307047205</c:v>
                </c:pt>
                <c:pt idx="455">
                  <c:v>0.32200997348912119</c:v>
                </c:pt>
                <c:pt idx="456">
                  <c:v>0.32177410248151578</c:v>
                </c:pt>
                <c:pt idx="457">
                  <c:v>0.38550413219679769</c:v>
                </c:pt>
                <c:pt idx="458">
                  <c:v>0.40354236732055282</c:v>
                </c:pt>
                <c:pt idx="459">
                  <c:v>0.39993761309605536</c:v>
                </c:pt>
                <c:pt idx="460">
                  <c:v>0.40214927864242117</c:v>
                </c:pt>
                <c:pt idx="461">
                  <c:v>0.4065814465110601</c:v>
                </c:pt>
                <c:pt idx="462">
                  <c:v>0.4058077453192509</c:v>
                </c:pt>
                <c:pt idx="463">
                  <c:v>0.4448127623428545</c:v>
                </c:pt>
                <c:pt idx="464">
                  <c:v>0.444417246676441</c:v>
                </c:pt>
                <c:pt idx="465">
                  <c:v>0.44620108854636542</c:v>
                </c:pt>
                <c:pt idx="466">
                  <c:v>0.44725808960184454</c:v>
                </c:pt>
                <c:pt idx="467">
                  <c:v>0.4438740803928844</c:v>
                </c:pt>
                <c:pt idx="468">
                  <c:v>0.44336002290482512</c:v>
                </c:pt>
                <c:pt idx="469">
                  <c:v>0.4442408882657361</c:v>
                </c:pt>
                <c:pt idx="470">
                  <c:v>0.4428501380001803</c:v>
                </c:pt>
                <c:pt idx="471">
                  <c:v>0.44258010870130127</c:v>
                </c:pt>
                <c:pt idx="472">
                  <c:v>0.44149396288083426</c:v>
                </c:pt>
                <c:pt idx="473">
                  <c:v>0.43982430463301381</c:v>
                </c:pt>
                <c:pt idx="474">
                  <c:v>0.43974755460167347</c:v>
                </c:pt>
                <c:pt idx="475">
                  <c:v>0.43996885402837121</c:v>
                </c:pt>
                <c:pt idx="476">
                  <c:v>0.43467675518505666</c:v>
                </c:pt>
                <c:pt idx="477">
                  <c:v>0.43634381179067905</c:v>
                </c:pt>
                <c:pt idx="478">
                  <c:v>0.43428046372866974</c:v>
                </c:pt>
                <c:pt idx="479">
                  <c:v>0.43954294101099706</c:v>
                </c:pt>
                <c:pt idx="480">
                  <c:v>0.4371822642924304</c:v>
                </c:pt>
                <c:pt idx="481">
                  <c:v>0.43716600254745208</c:v>
                </c:pt>
                <c:pt idx="482">
                  <c:v>0.43779316597368634</c:v>
                </c:pt>
                <c:pt idx="483">
                  <c:v>0.43774905610967485</c:v>
                </c:pt>
                <c:pt idx="484">
                  <c:v>0.43782357001273131</c:v>
                </c:pt>
                <c:pt idx="485">
                  <c:v>0.43937921710996375</c:v>
                </c:pt>
                <c:pt idx="486">
                  <c:v>0.44977348337380457</c:v>
                </c:pt>
                <c:pt idx="487">
                  <c:v>0.44143092922288685</c:v>
                </c:pt>
                <c:pt idx="488">
                  <c:v>0.4401172219859294</c:v>
                </c:pt>
                <c:pt idx="489">
                  <c:v>0.44020733195309492</c:v>
                </c:pt>
                <c:pt idx="490">
                  <c:v>0.45615218367618099</c:v>
                </c:pt>
                <c:pt idx="491">
                  <c:v>0.44726756551799035</c:v>
                </c:pt>
                <c:pt idx="492">
                  <c:v>0.45412388877487059</c:v>
                </c:pt>
                <c:pt idx="493">
                  <c:v>0.4563243539157909</c:v>
                </c:pt>
                <c:pt idx="494">
                  <c:v>0.45180814131063862</c:v>
                </c:pt>
                <c:pt idx="495">
                  <c:v>0.45473635307578741</c:v>
                </c:pt>
                <c:pt idx="496">
                  <c:v>0.452156237721896</c:v>
                </c:pt>
                <c:pt idx="497">
                  <c:v>0.44777007588430723</c:v>
                </c:pt>
                <c:pt idx="498">
                  <c:v>0.44699958752463226</c:v>
                </c:pt>
                <c:pt idx="499">
                  <c:v>0.44938397868160118</c:v>
                </c:pt>
                <c:pt idx="500">
                  <c:v>0.45212183912216258</c:v>
                </c:pt>
                <c:pt idx="501">
                  <c:v>0.45343905931846407</c:v>
                </c:pt>
                <c:pt idx="502">
                  <c:v>0.43581606680929086</c:v>
                </c:pt>
                <c:pt idx="503">
                  <c:v>0.43425374151423929</c:v>
                </c:pt>
                <c:pt idx="504">
                  <c:v>0.43271734197201567</c:v>
                </c:pt>
                <c:pt idx="505">
                  <c:v>0.4321490784011473</c:v>
                </c:pt>
                <c:pt idx="506">
                  <c:v>0.43704554431532083</c:v>
                </c:pt>
                <c:pt idx="507">
                  <c:v>0.38060057987861035</c:v>
                </c:pt>
                <c:pt idx="508">
                  <c:v>0.35857748924079424</c:v>
                </c:pt>
                <c:pt idx="509">
                  <c:v>0.36350175611512148</c:v>
                </c:pt>
                <c:pt idx="510">
                  <c:v>0.36207946987600392</c:v>
                </c:pt>
                <c:pt idx="511">
                  <c:v>0.360563688701727</c:v>
                </c:pt>
                <c:pt idx="512">
                  <c:v>0.35596950418895451</c:v>
                </c:pt>
                <c:pt idx="513">
                  <c:v>0.31086027811836558</c:v>
                </c:pt>
                <c:pt idx="514">
                  <c:v>0.31078076839105812</c:v>
                </c:pt>
                <c:pt idx="515">
                  <c:v>0.30619371962244102</c:v>
                </c:pt>
                <c:pt idx="516">
                  <c:v>0.3038663583556836</c:v>
                </c:pt>
                <c:pt idx="517">
                  <c:v>0.30277201408790477</c:v>
                </c:pt>
                <c:pt idx="518">
                  <c:v>0.30414794793690403</c:v>
                </c:pt>
                <c:pt idx="519">
                  <c:v>0.30265193853590572</c:v>
                </c:pt>
                <c:pt idx="520">
                  <c:v>0.30701752294326462</c:v>
                </c:pt>
                <c:pt idx="521">
                  <c:v>0.30698601779852341</c:v>
                </c:pt>
                <c:pt idx="522">
                  <c:v>0.31313407703721824</c:v>
                </c:pt>
                <c:pt idx="523">
                  <c:v>0.31282250302956177</c:v>
                </c:pt>
                <c:pt idx="524">
                  <c:v>0.31489654783466231</c:v>
                </c:pt>
                <c:pt idx="525">
                  <c:v>0.31347426060199124</c:v>
                </c:pt>
                <c:pt idx="526">
                  <c:v>0.31355974282955568</c:v>
                </c:pt>
                <c:pt idx="527">
                  <c:v>0.30813481154030609</c:v>
                </c:pt>
                <c:pt idx="528">
                  <c:v>0.31629745522637376</c:v>
                </c:pt>
                <c:pt idx="529">
                  <c:v>0.30067370176964842</c:v>
                </c:pt>
                <c:pt idx="530">
                  <c:v>0.30214685755387766</c:v>
                </c:pt>
                <c:pt idx="531">
                  <c:v>0.31519806329004074</c:v>
                </c:pt>
                <c:pt idx="532">
                  <c:v>0.31572303539247931</c:v>
                </c:pt>
                <c:pt idx="533">
                  <c:v>0.31573781900183157</c:v>
                </c:pt>
                <c:pt idx="534">
                  <c:v>0.31554488071277886</c:v>
                </c:pt>
                <c:pt idx="535">
                  <c:v>0.31493780179593145</c:v>
                </c:pt>
                <c:pt idx="536">
                  <c:v>0.30022648905079952</c:v>
                </c:pt>
                <c:pt idx="537">
                  <c:v>0.30024754919814295</c:v>
                </c:pt>
                <c:pt idx="538">
                  <c:v>0.30888153605981283</c:v>
                </c:pt>
                <c:pt idx="539">
                  <c:v>0.30848494301916191</c:v>
                </c:pt>
                <c:pt idx="540">
                  <c:v>0.26833566917379537</c:v>
                </c:pt>
                <c:pt idx="541">
                  <c:v>0.26819047364866555</c:v>
                </c:pt>
                <c:pt idx="542">
                  <c:v>0.26110583492110251</c:v>
                </c:pt>
                <c:pt idx="543">
                  <c:v>0.2528904699357461</c:v>
                </c:pt>
                <c:pt idx="544">
                  <c:v>0.25918857522819611</c:v>
                </c:pt>
                <c:pt idx="545">
                  <c:v>0.25536355081924822</c:v>
                </c:pt>
                <c:pt idx="546">
                  <c:v>0.25740201824880016</c:v>
                </c:pt>
                <c:pt idx="547">
                  <c:v>0.25738931053569858</c:v>
                </c:pt>
                <c:pt idx="548">
                  <c:v>0.259470796056058</c:v>
                </c:pt>
                <c:pt idx="549">
                  <c:v>0.25667655228142205</c:v>
                </c:pt>
                <c:pt idx="550">
                  <c:v>0.25166682300177717</c:v>
                </c:pt>
                <c:pt idx="551">
                  <c:v>0.25759402683682092</c:v>
                </c:pt>
                <c:pt idx="552">
                  <c:v>0.26309658874558484</c:v>
                </c:pt>
                <c:pt idx="553">
                  <c:v>0.26283311526588454</c:v>
                </c:pt>
                <c:pt idx="554">
                  <c:v>0.27576828496865297</c:v>
                </c:pt>
                <c:pt idx="555">
                  <c:v>0.27863971323600312</c:v>
                </c:pt>
                <c:pt idx="556">
                  <c:v>0.2836903701511389</c:v>
                </c:pt>
                <c:pt idx="557">
                  <c:v>0.28847505002113683</c:v>
                </c:pt>
                <c:pt idx="558">
                  <c:v>0.28761361770576294</c:v>
                </c:pt>
                <c:pt idx="559">
                  <c:v>0.28281361553069845</c:v>
                </c:pt>
                <c:pt idx="560">
                  <c:v>0.28172391960494314</c:v>
                </c:pt>
                <c:pt idx="561">
                  <c:v>0.27040585788002608</c:v>
                </c:pt>
                <c:pt idx="562">
                  <c:v>0.29215312490499507</c:v>
                </c:pt>
                <c:pt idx="563">
                  <c:v>0.28977362029355169</c:v>
                </c:pt>
                <c:pt idx="564">
                  <c:v>0.30032477655042172</c:v>
                </c:pt>
                <c:pt idx="565">
                  <c:v>0.30052633772925258</c:v>
                </c:pt>
                <c:pt idx="566">
                  <c:v>0.3010998841378032</c:v>
                </c:pt>
                <c:pt idx="567">
                  <c:v>0.31361034030127816</c:v>
                </c:pt>
                <c:pt idx="568">
                  <c:v>0.31383320144330906</c:v>
                </c:pt>
                <c:pt idx="569">
                  <c:v>0.31978928737758056</c:v>
                </c:pt>
                <c:pt idx="570">
                  <c:v>0.31566323801603879</c:v>
                </c:pt>
                <c:pt idx="571">
                  <c:v>0.31647315104166074</c:v>
                </c:pt>
                <c:pt idx="572">
                  <c:v>0.30911759977800179</c:v>
                </c:pt>
                <c:pt idx="573">
                  <c:v>0.31776625785408974</c:v>
                </c:pt>
                <c:pt idx="574">
                  <c:v>0.31608438096587721</c:v>
                </c:pt>
                <c:pt idx="575">
                  <c:v>0.31908012147267328</c:v>
                </c:pt>
                <c:pt idx="576">
                  <c:v>0.31891660629725355</c:v>
                </c:pt>
                <c:pt idx="577">
                  <c:v>0.32063986601269212</c:v>
                </c:pt>
                <c:pt idx="578">
                  <c:v>0.33504168315653571</c:v>
                </c:pt>
                <c:pt idx="579">
                  <c:v>0.34844712893974322</c:v>
                </c:pt>
                <c:pt idx="580">
                  <c:v>0.3469657989534306</c:v>
                </c:pt>
                <c:pt idx="581">
                  <c:v>0.34208351896477024</c:v>
                </c:pt>
                <c:pt idx="582">
                  <c:v>0.34282437231077045</c:v>
                </c:pt>
                <c:pt idx="583">
                  <c:v>0.34262543330542083</c:v>
                </c:pt>
                <c:pt idx="584">
                  <c:v>0.34222296873418673</c:v>
                </c:pt>
                <c:pt idx="585">
                  <c:v>0.34679270703497528</c:v>
                </c:pt>
                <c:pt idx="586">
                  <c:v>0.34651742579301764</c:v>
                </c:pt>
                <c:pt idx="587">
                  <c:v>0.34646283728595445</c:v>
                </c:pt>
                <c:pt idx="588">
                  <c:v>0.34154823777516607</c:v>
                </c:pt>
                <c:pt idx="589">
                  <c:v>0.34191786705810073</c:v>
                </c:pt>
                <c:pt idx="590">
                  <c:v>0.34512381529195085</c:v>
                </c:pt>
                <c:pt idx="591">
                  <c:v>0.34551514095169006</c:v>
                </c:pt>
                <c:pt idx="592">
                  <c:v>0.39205519357671315</c:v>
                </c:pt>
                <c:pt idx="593">
                  <c:v>0.39363996589407074</c:v>
                </c:pt>
                <c:pt idx="594">
                  <c:v>0.41825999889621696</c:v>
                </c:pt>
                <c:pt idx="595">
                  <c:v>0.42158484102691729</c:v>
                </c:pt>
                <c:pt idx="596">
                  <c:v>0.42432899598295298</c:v>
                </c:pt>
                <c:pt idx="597">
                  <c:v>0.4713408737055389</c:v>
                </c:pt>
                <c:pt idx="598">
                  <c:v>0.4731516063821542</c:v>
                </c:pt>
                <c:pt idx="599">
                  <c:v>0.4727601606799029</c:v>
                </c:pt>
                <c:pt idx="600">
                  <c:v>0.48334827241884226</c:v>
                </c:pt>
                <c:pt idx="601">
                  <c:v>0.48288430508586905</c:v>
                </c:pt>
                <c:pt idx="602">
                  <c:v>0.47922325979071445</c:v>
                </c:pt>
                <c:pt idx="603">
                  <c:v>0.48007084044270654</c:v>
                </c:pt>
                <c:pt idx="604">
                  <c:v>0.49845443433729469</c:v>
                </c:pt>
                <c:pt idx="605">
                  <c:v>0.49675993705294419</c:v>
                </c:pt>
                <c:pt idx="606">
                  <c:v>0.49561518265330029</c:v>
                </c:pt>
                <c:pt idx="607">
                  <c:v>0.49862056007905203</c:v>
                </c:pt>
                <c:pt idx="608">
                  <c:v>0.5062225160538022</c:v>
                </c:pt>
                <c:pt idx="609">
                  <c:v>0.50964778680459244</c:v>
                </c:pt>
                <c:pt idx="610">
                  <c:v>0.52263083536445842</c:v>
                </c:pt>
                <c:pt idx="611">
                  <c:v>0.52255142314219205</c:v>
                </c:pt>
                <c:pt idx="612">
                  <c:v>0.52635507689488081</c:v>
                </c:pt>
                <c:pt idx="613">
                  <c:v>0.53566714843657004</c:v>
                </c:pt>
                <c:pt idx="614">
                  <c:v>0.5320285159936311</c:v>
                </c:pt>
                <c:pt idx="615">
                  <c:v>0.5375674801453636</c:v>
                </c:pt>
                <c:pt idx="616">
                  <c:v>0.5408358572350751</c:v>
                </c:pt>
                <c:pt idx="617">
                  <c:v>0.54447048676440124</c:v>
                </c:pt>
                <c:pt idx="618">
                  <c:v>0.56356026649252577</c:v>
                </c:pt>
                <c:pt idx="619">
                  <c:v>0.56244748648578746</c:v>
                </c:pt>
                <c:pt idx="620">
                  <c:v>0.56185126755398518</c:v>
                </c:pt>
                <c:pt idx="621">
                  <c:v>0.57044490102802259</c:v>
                </c:pt>
                <c:pt idx="622">
                  <c:v>0.58972975030519392</c:v>
                </c:pt>
                <c:pt idx="623">
                  <c:v>0.58737629784270695</c:v>
                </c:pt>
                <c:pt idx="624">
                  <c:v>0.59000990593395874</c:v>
                </c:pt>
                <c:pt idx="625">
                  <c:v>0.59653614772024133</c:v>
                </c:pt>
                <c:pt idx="626">
                  <c:v>0.59671689914201131</c:v>
                </c:pt>
                <c:pt idx="627">
                  <c:v>0.59662126637876089</c:v>
                </c:pt>
                <c:pt idx="628">
                  <c:v>0.58348725348156683</c:v>
                </c:pt>
                <c:pt idx="629">
                  <c:v>0.5729714997940083</c:v>
                </c:pt>
                <c:pt idx="630">
                  <c:v>0.57294473316537542</c:v>
                </c:pt>
                <c:pt idx="631">
                  <c:v>0.57305281422068655</c:v>
                </c:pt>
                <c:pt idx="632">
                  <c:v>0.57182026868544733</c:v>
                </c:pt>
                <c:pt idx="633">
                  <c:v>0.57194522566400918</c:v>
                </c:pt>
                <c:pt idx="634">
                  <c:v>0.57540183484585072</c:v>
                </c:pt>
                <c:pt idx="635">
                  <c:v>0.57584636692856461</c:v>
                </c:pt>
                <c:pt idx="636">
                  <c:v>0.58191955192914446</c:v>
                </c:pt>
                <c:pt idx="637">
                  <c:v>0.5819635920664834</c:v>
                </c:pt>
                <c:pt idx="638">
                  <c:v>0.58211704592094327</c:v>
                </c:pt>
                <c:pt idx="639">
                  <c:v>0.58176112440232508</c:v>
                </c:pt>
                <c:pt idx="640">
                  <c:v>0.57965979999291817</c:v>
                </c:pt>
                <c:pt idx="641">
                  <c:v>0.58049208839583866</c:v>
                </c:pt>
                <c:pt idx="642">
                  <c:v>0.55223017428577248</c:v>
                </c:pt>
                <c:pt idx="643">
                  <c:v>0.55204449966425106</c:v>
                </c:pt>
                <c:pt idx="644">
                  <c:v>0.53420505796252249</c:v>
                </c:pt>
                <c:pt idx="645">
                  <c:v>0.54142868157159896</c:v>
                </c:pt>
                <c:pt idx="646">
                  <c:v>0.538694701086878</c:v>
                </c:pt>
                <c:pt idx="647">
                  <c:v>0.49922554499208255</c:v>
                </c:pt>
                <c:pt idx="648">
                  <c:v>0.50379046010548023</c:v>
                </c:pt>
                <c:pt idx="649">
                  <c:v>0.50862670109017316</c:v>
                </c:pt>
                <c:pt idx="650">
                  <c:v>0.49764583718465449</c:v>
                </c:pt>
                <c:pt idx="651">
                  <c:v>0.49526826796711726</c:v>
                </c:pt>
                <c:pt idx="652">
                  <c:v>0.49639456685995936</c:v>
                </c:pt>
                <c:pt idx="653">
                  <c:v>0.49520033888659304</c:v>
                </c:pt>
                <c:pt idx="654">
                  <c:v>0.46766626392020783</c:v>
                </c:pt>
                <c:pt idx="655">
                  <c:v>0.46744026821735279</c:v>
                </c:pt>
                <c:pt idx="656">
                  <c:v>0.49216661225439406</c:v>
                </c:pt>
                <c:pt idx="657">
                  <c:v>0.48193802555047766</c:v>
                </c:pt>
                <c:pt idx="658">
                  <c:v>0.47310701482391887</c:v>
                </c:pt>
                <c:pt idx="659">
                  <c:v>0.4645646638237052</c:v>
                </c:pt>
                <c:pt idx="660">
                  <c:v>0.45600681498642226</c:v>
                </c:pt>
                <c:pt idx="661">
                  <c:v>0.45562216768538472</c:v>
                </c:pt>
                <c:pt idx="662">
                  <c:v>0.4461831316616493</c:v>
                </c:pt>
                <c:pt idx="663">
                  <c:v>0.44197011127146735</c:v>
                </c:pt>
                <c:pt idx="664">
                  <c:v>0.43942630394154908</c:v>
                </c:pt>
                <c:pt idx="665">
                  <c:v>0.4362535008504127</c:v>
                </c:pt>
                <c:pt idx="666">
                  <c:v>0.43313610573142441</c:v>
                </c:pt>
                <c:pt idx="667">
                  <c:v>0.42349160193696123</c:v>
                </c:pt>
                <c:pt idx="668">
                  <c:v>0.44071789453044607</c:v>
                </c:pt>
                <c:pt idx="669">
                  <c:v>0.47295320586999157</c:v>
                </c:pt>
                <c:pt idx="670">
                  <c:v>0.51492612899512225</c:v>
                </c:pt>
                <c:pt idx="671">
                  <c:v>0.57048199816663103</c:v>
                </c:pt>
                <c:pt idx="672">
                  <c:v>0.55414999533778353</c:v>
                </c:pt>
                <c:pt idx="673">
                  <c:v>0.55374087774632175</c:v>
                </c:pt>
                <c:pt idx="674">
                  <c:v>0.5486894675069659</c:v>
                </c:pt>
                <c:pt idx="675">
                  <c:v>0.54386080284849558</c:v>
                </c:pt>
                <c:pt idx="676">
                  <c:v>0.54712586312707523</c:v>
                </c:pt>
                <c:pt idx="677">
                  <c:v>0.54719982015459379</c:v>
                </c:pt>
                <c:pt idx="678">
                  <c:v>0.54847470294979173</c:v>
                </c:pt>
                <c:pt idx="679">
                  <c:v>0.54813031390245048</c:v>
                </c:pt>
                <c:pt idx="680">
                  <c:v>0.54825658184837656</c:v>
                </c:pt>
                <c:pt idx="681">
                  <c:v>0.55154842274213189</c:v>
                </c:pt>
                <c:pt idx="682">
                  <c:v>0.55327734152126162</c:v>
                </c:pt>
                <c:pt idx="683">
                  <c:v>0.55463576977712192</c:v>
                </c:pt>
                <c:pt idx="684">
                  <c:v>0.55498893179321851</c:v>
                </c:pt>
                <c:pt idx="685">
                  <c:v>0.55106692002740421</c:v>
                </c:pt>
                <c:pt idx="686">
                  <c:v>0.55055318417388011</c:v>
                </c:pt>
                <c:pt idx="687">
                  <c:v>0.55284048321245227</c:v>
                </c:pt>
                <c:pt idx="688">
                  <c:v>0.55475129034114057</c:v>
                </c:pt>
                <c:pt idx="689">
                  <c:v>0.55406348872051858</c:v>
                </c:pt>
                <c:pt idx="690">
                  <c:v>0.56035849849271691</c:v>
                </c:pt>
                <c:pt idx="691">
                  <c:v>0.56021647174771405</c:v>
                </c:pt>
                <c:pt idx="692">
                  <c:v>0.55988646433030054</c:v>
                </c:pt>
                <c:pt idx="693">
                  <c:v>0.55933803069321764</c:v>
                </c:pt>
                <c:pt idx="694">
                  <c:v>0.56182400625696238</c:v>
                </c:pt>
                <c:pt idx="695">
                  <c:v>0.55331471197673932</c:v>
                </c:pt>
                <c:pt idx="696">
                  <c:v>0.55329330865066406</c:v>
                </c:pt>
                <c:pt idx="697">
                  <c:v>0.55552152391250076</c:v>
                </c:pt>
                <c:pt idx="698">
                  <c:v>0.55618102823351645</c:v>
                </c:pt>
                <c:pt idx="699">
                  <c:v>0.55437460398543703</c:v>
                </c:pt>
                <c:pt idx="700">
                  <c:v>0.55425006230523421</c:v>
                </c:pt>
                <c:pt idx="701">
                  <c:v>0.55344688072425163</c:v>
                </c:pt>
                <c:pt idx="702">
                  <c:v>0.551903680209609</c:v>
                </c:pt>
                <c:pt idx="703">
                  <c:v>0.55279123143448738</c:v>
                </c:pt>
                <c:pt idx="704">
                  <c:v>0.55241114511645173</c:v>
                </c:pt>
                <c:pt idx="705">
                  <c:v>0.54962452659396044</c:v>
                </c:pt>
                <c:pt idx="706">
                  <c:v>0.56462312585529306</c:v>
                </c:pt>
                <c:pt idx="707">
                  <c:v>0.56568236388768756</c:v>
                </c:pt>
                <c:pt idx="708">
                  <c:v>0.57227293270435642</c:v>
                </c:pt>
                <c:pt idx="709">
                  <c:v>0.58591055867256603</c:v>
                </c:pt>
                <c:pt idx="710">
                  <c:v>0.5861761990220884</c:v>
                </c:pt>
                <c:pt idx="711">
                  <c:v>0.59074719397687325</c:v>
                </c:pt>
                <c:pt idx="712">
                  <c:v>0.59707772688799232</c:v>
                </c:pt>
                <c:pt idx="713">
                  <c:v>0.61442468143522988</c:v>
                </c:pt>
                <c:pt idx="714">
                  <c:v>0.63206248681256161</c:v>
                </c:pt>
                <c:pt idx="715">
                  <c:v>0.6325523583571282</c:v>
                </c:pt>
                <c:pt idx="716">
                  <c:v>0.62637820286911938</c:v>
                </c:pt>
                <c:pt idx="717">
                  <c:v>0.62880816478214252</c:v>
                </c:pt>
                <c:pt idx="718">
                  <c:v>0.67811228643680843</c:v>
                </c:pt>
                <c:pt idx="719">
                  <c:v>0.66377495148703436</c:v>
                </c:pt>
                <c:pt idx="720">
                  <c:v>0.64498311313854995</c:v>
                </c:pt>
                <c:pt idx="721">
                  <c:v>0.57858197530203426</c:v>
                </c:pt>
                <c:pt idx="722">
                  <c:v>0.57831733684996089</c:v>
                </c:pt>
                <c:pt idx="723">
                  <c:v>0.57861404422555307</c:v>
                </c:pt>
                <c:pt idx="724">
                  <c:v>0.5818221823705082</c:v>
                </c:pt>
                <c:pt idx="725">
                  <c:v>0.58148891891828813</c:v>
                </c:pt>
                <c:pt idx="726">
                  <c:v>0.5748764610093775</c:v>
                </c:pt>
                <c:pt idx="727">
                  <c:v>0.57582333694709031</c:v>
                </c:pt>
                <c:pt idx="728">
                  <c:v>0.58972541674006473</c:v>
                </c:pt>
                <c:pt idx="729">
                  <c:v>0.58870096514085946</c:v>
                </c:pt>
                <c:pt idx="730">
                  <c:v>0.59688367020091482</c:v>
                </c:pt>
                <c:pt idx="731">
                  <c:v>0.59719646713623564</c:v>
                </c:pt>
                <c:pt idx="732">
                  <c:v>0.59696511753331105</c:v>
                </c:pt>
                <c:pt idx="733">
                  <c:v>0.60831138117302397</c:v>
                </c:pt>
                <c:pt idx="734">
                  <c:v>0.60787991860191759</c:v>
                </c:pt>
                <c:pt idx="735">
                  <c:v>0.60839808666783801</c:v>
                </c:pt>
                <c:pt idx="736">
                  <c:v>0.59991336633544656</c:v>
                </c:pt>
                <c:pt idx="737">
                  <c:v>0.59642911404509935</c:v>
                </c:pt>
                <c:pt idx="738">
                  <c:v>0.59073827372824117</c:v>
                </c:pt>
                <c:pt idx="739">
                  <c:v>0.59059239234145766</c:v>
                </c:pt>
                <c:pt idx="740">
                  <c:v>0.58887818392593061</c:v>
                </c:pt>
                <c:pt idx="741">
                  <c:v>0.58607052953328764</c:v>
                </c:pt>
                <c:pt idx="742">
                  <c:v>0.59520617186129066</c:v>
                </c:pt>
                <c:pt idx="743">
                  <c:v>0.61973297162649077</c:v>
                </c:pt>
                <c:pt idx="744">
                  <c:v>0.62184198829902826</c:v>
                </c:pt>
                <c:pt idx="745">
                  <c:v>0.62393398639856668</c:v>
                </c:pt>
                <c:pt idx="746">
                  <c:v>0.62934093570814698</c:v>
                </c:pt>
                <c:pt idx="747">
                  <c:v>0.62426833794180869</c:v>
                </c:pt>
                <c:pt idx="748">
                  <c:v>0.61510619761107121</c:v>
                </c:pt>
                <c:pt idx="749">
                  <c:v>0.61041563275458288</c:v>
                </c:pt>
                <c:pt idx="750">
                  <c:v>0.61048533225056745</c:v>
                </c:pt>
                <c:pt idx="751">
                  <c:v>0.64062722428118735</c:v>
                </c:pt>
                <c:pt idx="752">
                  <c:v>0.63926198853048366</c:v>
                </c:pt>
                <c:pt idx="753">
                  <c:v>0.6426150612447048</c:v>
                </c:pt>
                <c:pt idx="754">
                  <c:v>0.64227952364495111</c:v>
                </c:pt>
                <c:pt idx="755">
                  <c:v>0.64233200911303601</c:v>
                </c:pt>
                <c:pt idx="756">
                  <c:v>0.62917678868197358</c:v>
                </c:pt>
                <c:pt idx="757">
                  <c:v>0.63073874969997645</c:v>
                </c:pt>
                <c:pt idx="758">
                  <c:v>0.63151704920468243</c:v>
                </c:pt>
                <c:pt idx="759">
                  <c:v>0.63115990669446731</c:v>
                </c:pt>
                <c:pt idx="760">
                  <c:v>0.63247034597573526</c:v>
                </c:pt>
                <c:pt idx="761">
                  <c:v>0.63464726935670412</c:v>
                </c:pt>
                <c:pt idx="762">
                  <c:v>0.63091288649727817</c:v>
                </c:pt>
                <c:pt idx="763">
                  <c:v>0.61815409393274334</c:v>
                </c:pt>
                <c:pt idx="764">
                  <c:v>0.60024256674270449</c:v>
                </c:pt>
                <c:pt idx="765">
                  <c:v>0.61102584734022458</c:v>
                </c:pt>
                <c:pt idx="766">
                  <c:v>0.61179255698397417</c:v>
                </c:pt>
                <c:pt idx="767">
                  <c:v>0.60937826162932474</c:v>
                </c:pt>
                <c:pt idx="768">
                  <c:v>0.5257136824188493</c:v>
                </c:pt>
                <c:pt idx="769">
                  <c:v>0.52207217994604305</c:v>
                </c:pt>
                <c:pt idx="770">
                  <c:v>0.51113961242667794</c:v>
                </c:pt>
                <c:pt idx="771">
                  <c:v>0.51217715448357115</c:v>
                </c:pt>
                <c:pt idx="772">
                  <c:v>0.51379044667703788</c:v>
                </c:pt>
                <c:pt idx="773">
                  <c:v>0.53286622341965029</c:v>
                </c:pt>
                <c:pt idx="774">
                  <c:v>0.52956715661862397</c:v>
                </c:pt>
                <c:pt idx="775">
                  <c:v>0.52824235515179063</c:v>
                </c:pt>
                <c:pt idx="776">
                  <c:v>0.53333893072274263</c:v>
                </c:pt>
                <c:pt idx="777">
                  <c:v>0.53031094305295789</c:v>
                </c:pt>
                <c:pt idx="778">
                  <c:v>0.51159052457378296</c:v>
                </c:pt>
                <c:pt idx="779">
                  <c:v>0.52049516826770148</c:v>
                </c:pt>
                <c:pt idx="780">
                  <c:v>0.53542949394999328</c:v>
                </c:pt>
                <c:pt idx="781">
                  <c:v>0.53155145212533328</c:v>
                </c:pt>
                <c:pt idx="782">
                  <c:v>0.52630045452635776</c:v>
                </c:pt>
                <c:pt idx="783">
                  <c:v>0.51990972584079032</c:v>
                </c:pt>
                <c:pt idx="784">
                  <c:v>0.51736997122401562</c:v>
                </c:pt>
                <c:pt idx="785">
                  <c:v>0.51203376488810681</c:v>
                </c:pt>
                <c:pt idx="786">
                  <c:v>0.50807418817224215</c:v>
                </c:pt>
                <c:pt idx="787">
                  <c:v>0.51309065180609903</c:v>
                </c:pt>
                <c:pt idx="788">
                  <c:v>0.50808886173377221</c:v>
                </c:pt>
                <c:pt idx="789">
                  <c:v>0.50439689777628027</c:v>
                </c:pt>
                <c:pt idx="790">
                  <c:v>0.50410766778410787</c:v>
                </c:pt>
                <c:pt idx="791">
                  <c:v>0.50968844746409181</c:v>
                </c:pt>
                <c:pt idx="792">
                  <c:v>0.50595763687041528</c:v>
                </c:pt>
                <c:pt idx="793">
                  <c:v>0.4911210041184092</c:v>
                </c:pt>
                <c:pt idx="794">
                  <c:v>0.4773513943258525</c:v>
                </c:pt>
                <c:pt idx="795">
                  <c:v>0.46758800667443601</c:v>
                </c:pt>
                <c:pt idx="796">
                  <c:v>0.47208233167714836</c:v>
                </c:pt>
                <c:pt idx="797">
                  <c:v>0.47222843590290337</c:v>
                </c:pt>
                <c:pt idx="798">
                  <c:v>0.4640850058682976</c:v>
                </c:pt>
                <c:pt idx="799">
                  <c:v>0.47126327284573838</c:v>
                </c:pt>
                <c:pt idx="800">
                  <c:v>0.46439850470254568</c:v>
                </c:pt>
                <c:pt idx="801">
                  <c:v>0.46090976888863205</c:v>
                </c:pt>
                <c:pt idx="802">
                  <c:v>0.45992734653490941</c:v>
                </c:pt>
                <c:pt idx="803">
                  <c:v>0.46149081525173108</c:v>
                </c:pt>
                <c:pt idx="804">
                  <c:v>0.46258484282431744</c:v>
                </c:pt>
                <c:pt idx="805">
                  <c:v>0.46238546930520147</c:v>
                </c:pt>
                <c:pt idx="806">
                  <c:v>0.45022188207110403</c:v>
                </c:pt>
                <c:pt idx="807">
                  <c:v>0.44223882594844255</c:v>
                </c:pt>
                <c:pt idx="808">
                  <c:v>0.44256798575170564</c:v>
                </c:pt>
                <c:pt idx="809">
                  <c:v>0.42996993321223309</c:v>
                </c:pt>
                <c:pt idx="810">
                  <c:v>0.4301432900812156</c:v>
                </c:pt>
                <c:pt idx="811">
                  <c:v>0.42807850965144578</c:v>
                </c:pt>
                <c:pt idx="812">
                  <c:v>0.42038318838804956</c:v>
                </c:pt>
                <c:pt idx="813">
                  <c:v>0.42507306696336727</c:v>
                </c:pt>
                <c:pt idx="814">
                  <c:v>0.42757216549407695</c:v>
                </c:pt>
                <c:pt idx="815">
                  <c:v>0.42411670964323478</c:v>
                </c:pt>
                <c:pt idx="816">
                  <c:v>0.43992436556725811</c:v>
                </c:pt>
                <c:pt idx="817">
                  <c:v>0.43530048602586457</c:v>
                </c:pt>
                <c:pt idx="818">
                  <c:v>0.43934904742416742</c:v>
                </c:pt>
                <c:pt idx="819">
                  <c:v>0.44173088642866876</c:v>
                </c:pt>
                <c:pt idx="820">
                  <c:v>0.44004956938816286</c:v>
                </c:pt>
                <c:pt idx="821">
                  <c:v>0.43934469602415316</c:v>
                </c:pt>
                <c:pt idx="822">
                  <c:v>0.4469238603327646</c:v>
                </c:pt>
                <c:pt idx="823">
                  <c:v>0.42574559837538234</c:v>
                </c:pt>
                <c:pt idx="824">
                  <c:v>0.42579830508578215</c:v>
                </c:pt>
                <c:pt idx="825">
                  <c:v>0.42936241700154382</c:v>
                </c:pt>
                <c:pt idx="826">
                  <c:v>0.44658421682442595</c:v>
                </c:pt>
                <c:pt idx="827">
                  <c:v>0.44716331379580693</c:v>
                </c:pt>
                <c:pt idx="828">
                  <c:v>0.43600534222935494</c:v>
                </c:pt>
                <c:pt idx="829">
                  <c:v>0.43533530006113658</c:v>
                </c:pt>
                <c:pt idx="830">
                  <c:v>0.42728822045605341</c:v>
                </c:pt>
                <c:pt idx="831">
                  <c:v>0.42609929820368514</c:v>
                </c:pt>
                <c:pt idx="832">
                  <c:v>0.42200654115459152</c:v>
                </c:pt>
                <c:pt idx="833">
                  <c:v>0.42686678465802963</c:v>
                </c:pt>
                <c:pt idx="834">
                  <c:v>0.43329971721849347</c:v>
                </c:pt>
                <c:pt idx="835">
                  <c:v>0.43263935792648545</c:v>
                </c:pt>
                <c:pt idx="836">
                  <c:v>0.43691139836262627</c:v>
                </c:pt>
                <c:pt idx="837">
                  <c:v>0.42712426087657995</c:v>
                </c:pt>
                <c:pt idx="838">
                  <c:v>0.4316613045060716</c:v>
                </c:pt>
                <c:pt idx="839">
                  <c:v>0.4308601708413361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31424"/>
        <c:axId val="56191808"/>
      </c:lineChart>
      <c:catAx>
        <c:axId val="5623040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6191232"/>
        <c:crosses val="autoZero"/>
        <c:auto val="0"/>
        <c:lblAlgn val="ctr"/>
        <c:lblOffset val="100"/>
        <c:noMultiLvlLbl val="0"/>
      </c:catAx>
      <c:valAx>
        <c:axId val="561912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230400"/>
        <c:crosses val="autoZero"/>
        <c:crossBetween val="between"/>
      </c:valAx>
      <c:catAx>
        <c:axId val="56231424"/>
        <c:scaling>
          <c:orientation val="minMax"/>
        </c:scaling>
        <c:delete val="1"/>
        <c:axPos val="b"/>
        <c:majorTickMark val="out"/>
        <c:minorTickMark val="none"/>
        <c:tickLblPos val="nextTo"/>
        <c:crossAx val="56191808"/>
        <c:crosses val="autoZero"/>
        <c:auto val="0"/>
        <c:lblAlgn val="ctr"/>
        <c:lblOffset val="100"/>
        <c:noMultiLvlLbl val="0"/>
      </c:catAx>
      <c:valAx>
        <c:axId val="5619180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231424"/>
        <c:crosses val="max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383285216647889"/>
          <c:y val="0.45766174086219136"/>
          <c:w val="0.10658688867590328"/>
          <c:h val="8.669363373160453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28575</xdr:colOff>
      <xdr:row>29</xdr:row>
      <xdr:rowOff>28575</xdr:rowOff>
    </xdr:to>
    <xdr:graphicFrame macro="">
      <xdr:nvGraphicFramePr>
        <xdr:cNvPr id="3075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485775</xdr:colOff>
      <xdr:row>2</xdr:row>
      <xdr:rowOff>85725</xdr:rowOff>
    </xdr:from>
    <xdr:to>
      <xdr:col>3</xdr:col>
      <xdr:colOff>533400</xdr:colOff>
      <xdr:row>3</xdr:row>
      <xdr:rowOff>142875</xdr:rowOff>
    </xdr:to>
    <xdr:sp macro="[0]!ExtractData" textlink="">
      <xdr:nvSpPr>
        <xdr:cNvPr id="3076" name="Rectangle 4"/>
        <xdr:cNvSpPr>
          <a:spLocks noChangeArrowheads="1"/>
        </xdr:cNvSpPr>
      </xdr:nvSpPr>
      <xdr:spPr bwMode="auto">
        <a:xfrm>
          <a:off x="2038350" y="409575"/>
          <a:ext cx="81915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Extract Data</a:t>
          </a:r>
          <a:endParaRPr lang="en-US"/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www.optiontradingtips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finance.yahoo.com/search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A64"/>
  <sheetViews>
    <sheetView showGridLines="0" workbookViewId="0"/>
  </sheetViews>
  <sheetFormatPr defaultRowHeight="12.75" x14ac:dyDescent="0.2"/>
  <sheetData>
    <row r="2" spans="1:1" ht="20.25" x14ac:dyDescent="0.3">
      <c r="A2" s="17" t="s">
        <v>13</v>
      </c>
    </row>
    <row r="3" spans="1:1" x14ac:dyDescent="0.2">
      <c r="A3" t="s">
        <v>14</v>
      </c>
    </row>
    <row r="4" spans="1:1" x14ac:dyDescent="0.2">
      <c r="A4" t="s">
        <v>15</v>
      </c>
    </row>
    <row r="6" spans="1:1" x14ac:dyDescent="0.2">
      <c r="A6" t="s">
        <v>16</v>
      </c>
    </row>
    <row r="7" spans="1:1" x14ac:dyDescent="0.2">
      <c r="A7" t="s">
        <v>17</v>
      </c>
    </row>
    <row r="8" spans="1:1" x14ac:dyDescent="0.2">
      <c r="A8" t="s">
        <v>18</v>
      </c>
    </row>
    <row r="9" spans="1:1" x14ac:dyDescent="0.2">
      <c r="A9" t="s">
        <v>19</v>
      </c>
    </row>
    <row r="11" spans="1:1" x14ac:dyDescent="0.2">
      <c r="A11" t="s">
        <v>20</v>
      </c>
    </row>
    <row r="12" spans="1:1" x14ac:dyDescent="0.2">
      <c r="A12" s="18" t="s">
        <v>63</v>
      </c>
    </row>
    <row r="14" spans="1:1" ht="20.25" x14ac:dyDescent="0.3">
      <c r="A14" s="17" t="s">
        <v>21</v>
      </c>
    </row>
    <row r="15" spans="1:1" x14ac:dyDescent="0.2">
      <c r="A15" t="s">
        <v>22</v>
      </c>
    </row>
    <row r="16" spans="1:1" x14ac:dyDescent="0.2">
      <c r="A16" t="s">
        <v>23</v>
      </c>
    </row>
    <row r="18" spans="1:1" x14ac:dyDescent="0.2">
      <c r="A18" t="s">
        <v>24</v>
      </c>
    </row>
    <row r="20" spans="1:1" x14ac:dyDescent="0.2">
      <c r="A20" s="19" t="s">
        <v>25</v>
      </c>
    </row>
    <row r="21" spans="1:1" x14ac:dyDescent="0.2">
      <c r="A21" t="s">
        <v>26</v>
      </c>
    </row>
    <row r="22" spans="1:1" x14ac:dyDescent="0.2">
      <c r="A22" t="s">
        <v>27</v>
      </c>
    </row>
    <row r="23" spans="1:1" x14ac:dyDescent="0.2">
      <c r="A23" t="s">
        <v>28</v>
      </c>
    </row>
    <row r="25" spans="1:1" x14ac:dyDescent="0.2">
      <c r="A25" t="s">
        <v>29</v>
      </c>
    </row>
    <row r="26" spans="1:1" x14ac:dyDescent="0.2">
      <c r="A26" t="s">
        <v>30</v>
      </c>
    </row>
    <row r="27" spans="1:1" x14ac:dyDescent="0.2">
      <c r="A27" t="s">
        <v>31</v>
      </c>
    </row>
    <row r="29" spans="1:1" x14ac:dyDescent="0.2">
      <c r="A29" s="19" t="s">
        <v>32</v>
      </c>
    </row>
    <row r="30" spans="1:1" x14ac:dyDescent="0.2">
      <c r="A30" t="s">
        <v>33</v>
      </c>
    </row>
    <row r="31" spans="1:1" x14ac:dyDescent="0.2">
      <c r="A31" t="s">
        <v>34</v>
      </c>
    </row>
    <row r="32" spans="1:1" x14ac:dyDescent="0.2">
      <c r="A32" t="s">
        <v>35</v>
      </c>
    </row>
    <row r="34" spans="1:1" x14ac:dyDescent="0.2">
      <c r="A34" s="19" t="s">
        <v>36</v>
      </c>
    </row>
    <row r="35" spans="1:1" x14ac:dyDescent="0.2">
      <c r="A35" t="s">
        <v>37</v>
      </c>
    </row>
    <row r="36" spans="1:1" x14ac:dyDescent="0.2">
      <c r="A36" t="s">
        <v>38</v>
      </c>
    </row>
    <row r="38" spans="1:1" x14ac:dyDescent="0.2">
      <c r="A38" s="19" t="s">
        <v>39</v>
      </c>
    </row>
    <row r="39" spans="1:1" x14ac:dyDescent="0.2">
      <c r="A39" t="s">
        <v>40</v>
      </c>
    </row>
    <row r="41" spans="1:1" ht="20.25" x14ac:dyDescent="0.3">
      <c r="A41" s="17" t="s">
        <v>41</v>
      </c>
    </row>
    <row r="42" spans="1:1" x14ac:dyDescent="0.2">
      <c r="A42" t="s">
        <v>42</v>
      </c>
    </row>
    <row r="43" spans="1:1" x14ac:dyDescent="0.2">
      <c r="A43" t="s">
        <v>43</v>
      </c>
    </row>
    <row r="45" spans="1:1" x14ac:dyDescent="0.2">
      <c r="A45" s="19" t="s">
        <v>44</v>
      </c>
    </row>
    <row r="46" spans="1:1" x14ac:dyDescent="0.2">
      <c r="A46" t="s">
        <v>45</v>
      </c>
    </row>
    <row r="47" spans="1:1" x14ac:dyDescent="0.2">
      <c r="A47" t="s">
        <v>46</v>
      </c>
    </row>
    <row r="48" spans="1:1" x14ac:dyDescent="0.2">
      <c r="A48" t="s">
        <v>47</v>
      </c>
    </row>
    <row r="49" spans="1:1" x14ac:dyDescent="0.2">
      <c r="A49" t="s">
        <v>48</v>
      </c>
    </row>
    <row r="50" spans="1:1" x14ac:dyDescent="0.2">
      <c r="A50" t="s">
        <v>49</v>
      </c>
    </row>
    <row r="52" spans="1:1" x14ac:dyDescent="0.2">
      <c r="A52" s="19" t="s">
        <v>50</v>
      </c>
    </row>
    <row r="53" spans="1:1" x14ac:dyDescent="0.2">
      <c r="A53" t="s">
        <v>51</v>
      </c>
    </row>
    <row r="54" spans="1:1" x14ac:dyDescent="0.2">
      <c r="A54" t="s">
        <v>52</v>
      </c>
    </row>
    <row r="55" spans="1:1" x14ac:dyDescent="0.2">
      <c r="A55" t="s">
        <v>53</v>
      </c>
    </row>
    <row r="56" spans="1:1" x14ac:dyDescent="0.2">
      <c r="A56" t="s">
        <v>54</v>
      </c>
    </row>
    <row r="58" spans="1:1" x14ac:dyDescent="0.2">
      <c r="A58" t="s">
        <v>55</v>
      </c>
    </row>
    <row r="59" spans="1:1" x14ac:dyDescent="0.2">
      <c r="A59" t="s">
        <v>56</v>
      </c>
    </row>
    <row r="60" spans="1:1" x14ac:dyDescent="0.2">
      <c r="A60" t="s">
        <v>57</v>
      </c>
    </row>
    <row r="61" spans="1:1" x14ac:dyDescent="0.2">
      <c r="A61" t="s">
        <v>58</v>
      </c>
    </row>
    <row r="62" spans="1:1" x14ac:dyDescent="0.2">
      <c r="A62" t="s">
        <v>59</v>
      </c>
    </row>
    <row r="63" spans="1:1" x14ac:dyDescent="0.2">
      <c r="A63" t="s">
        <v>60</v>
      </c>
    </row>
    <row r="64" spans="1:1" x14ac:dyDescent="0.2">
      <c r="A64" t="s">
        <v>61</v>
      </c>
    </row>
  </sheetData>
  <phoneticPr fontId="1" type="noConversion"/>
  <hyperlinks>
    <hyperlink ref="A12" r:id="rId1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136"/>
  <sheetViews>
    <sheetView showGridLines="0" tabSelected="1" workbookViewId="0"/>
  </sheetViews>
  <sheetFormatPr defaultRowHeight="12.75" x14ac:dyDescent="0.2"/>
  <cols>
    <col min="1" max="1" width="13.140625" bestFit="1" customWidth="1"/>
    <col min="2" max="2" width="10.140625" bestFit="1" customWidth="1"/>
    <col min="3" max="3" width="11.5703125" style="1" customWidth="1"/>
    <col min="4" max="4" width="10.140625" bestFit="1" customWidth="1"/>
  </cols>
  <sheetData>
    <row r="1" spans="1:4" x14ac:dyDescent="0.2">
      <c r="A1" s="2" t="s">
        <v>0</v>
      </c>
      <c r="B1" s="3" t="s">
        <v>64</v>
      </c>
      <c r="C1" s="20" t="s">
        <v>62</v>
      </c>
    </row>
    <row r="2" spans="1:4" x14ac:dyDescent="0.2">
      <c r="A2" s="2" t="s">
        <v>6</v>
      </c>
      <c r="B2" s="3">
        <v>365</v>
      </c>
    </row>
    <row r="3" spans="1:4" x14ac:dyDescent="0.2">
      <c r="A3" s="2" t="s">
        <v>7</v>
      </c>
      <c r="B3" s="3">
        <v>50</v>
      </c>
    </row>
    <row r="4" spans="1:4" x14ac:dyDescent="0.2">
      <c r="A4" s="9" t="s">
        <v>10</v>
      </c>
      <c r="B4" s="8">
        <v>38353</v>
      </c>
    </row>
    <row r="5" spans="1:4" x14ac:dyDescent="0.2">
      <c r="A5" s="13" t="s">
        <v>12</v>
      </c>
      <c r="B5" s="16">
        <f>B900</f>
        <v>172.81</v>
      </c>
    </row>
    <row r="6" spans="1:4" x14ac:dyDescent="0.2">
      <c r="A6" s="13" t="s">
        <v>11</v>
      </c>
      <c r="B6" s="1">
        <f>D900</f>
        <v>0.4308601708413361</v>
      </c>
    </row>
    <row r="7" spans="1:4" x14ac:dyDescent="0.2">
      <c r="A7" s="1" t="s">
        <v>3</v>
      </c>
      <c r="B7" s="1">
        <f>AVERAGE(D:D)</f>
        <v>0.46228379738764003</v>
      </c>
    </row>
    <row r="8" spans="1:4" x14ac:dyDescent="0.2">
      <c r="A8" s="1" t="s">
        <v>4</v>
      </c>
      <c r="B8" s="1">
        <f>MAX(D:D)</f>
        <v>0.67811228643680843</v>
      </c>
    </row>
    <row r="9" spans="1:4" x14ac:dyDescent="0.2">
      <c r="A9" s="1" t="s">
        <v>9</v>
      </c>
      <c r="B9" s="1">
        <f>MIN(D:D)</f>
        <v>0.25166682300177717</v>
      </c>
    </row>
    <row r="10" spans="1:4" x14ac:dyDescent="0.2">
      <c r="A10" s="2" t="s">
        <v>1</v>
      </c>
      <c r="B10" s="10" t="s">
        <v>5</v>
      </c>
      <c r="C10" s="11" t="s">
        <v>2</v>
      </c>
      <c r="D10" s="12" t="s">
        <v>8</v>
      </c>
    </row>
    <row r="11" spans="1:4" x14ac:dyDescent="0.2">
      <c r="A11" s="15">
        <v>38355</v>
      </c>
      <c r="B11" s="14">
        <v>31.65</v>
      </c>
    </row>
    <row r="12" spans="1:4" x14ac:dyDescent="0.2">
      <c r="A12" s="4">
        <v>38356</v>
      </c>
      <c r="B12" s="5">
        <v>31.97</v>
      </c>
      <c r="C12" s="1">
        <f t="shared" ref="C12:C75" si="0">LN(B12/B11)</f>
        <v>1.0059814481564917E-2</v>
      </c>
    </row>
    <row r="13" spans="1:4" x14ac:dyDescent="0.2">
      <c r="A13" s="4">
        <v>38357</v>
      </c>
      <c r="B13" s="5">
        <v>32.25</v>
      </c>
      <c r="C13" s="1">
        <f t="shared" si="0"/>
        <v>8.7200801700314575E-3</v>
      </c>
    </row>
    <row r="14" spans="1:4" x14ac:dyDescent="0.2">
      <c r="A14" s="4">
        <v>38358</v>
      </c>
      <c r="B14" s="5">
        <v>32.28</v>
      </c>
      <c r="C14" s="1">
        <f t="shared" si="0"/>
        <v>9.2980015996652738E-4</v>
      </c>
    </row>
    <row r="15" spans="1:4" x14ac:dyDescent="0.2">
      <c r="A15" s="4">
        <v>38359</v>
      </c>
      <c r="B15" s="5">
        <v>34.619999999999997</v>
      </c>
      <c r="C15" s="1">
        <f t="shared" si="0"/>
        <v>6.9983706346314997E-2</v>
      </c>
    </row>
    <row r="16" spans="1:4" x14ac:dyDescent="0.2">
      <c r="A16" s="4">
        <v>38362</v>
      </c>
      <c r="B16" s="5">
        <v>34.479999999999997</v>
      </c>
      <c r="C16" s="1">
        <f t="shared" si="0"/>
        <v>-4.0521039525708864E-3</v>
      </c>
    </row>
    <row r="17" spans="1:3" x14ac:dyDescent="0.2">
      <c r="A17" s="4">
        <v>38363</v>
      </c>
      <c r="B17" s="5">
        <v>32.28</v>
      </c>
      <c r="C17" s="1">
        <f t="shared" si="0"/>
        <v>-6.593160239374414E-2</v>
      </c>
    </row>
    <row r="18" spans="1:3" x14ac:dyDescent="0.2">
      <c r="A18" s="4">
        <v>38364</v>
      </c>
      <c r="B18" s="5">
        <v>32.729999999999997</v>
      </c>
      <c r="C18" s="1">
        <f t="shared" si="0"/>
        <v>1.3844245111340947E-2</v>
      </c>
    </row>
    <row r="19" spans="1:3" x14ac:dyDescent="0.2">
      <c r="A19" s="4">
        <v>38365</v>
      </c>
      <c r="B19" s="5">
        <v>34.9</v>
      </c>
      <c r="C19" s="1">
        <f t="shared" si="0"/>
        <v>6.4194740695292352E-2</v>
      </c>
    </row>
    <row r="20" spans="1:3" x14ac:dyDescent="0.2">
      <c r="A20" s="4">
        <v>38366</v>
      </c>
      <c r="B20" s="5">
        <v>35.1</v>
      </c>
      <c r="C20" s="1">
        <f t="shared" si="0"/>
        <v>5.7143012634386352E-3</v>
      </c>
    </row>
    <row r="21" spans="1:3" x14ac:dyDescent="0.2">
      <c r="A21" s="4">
        <v>38370</v>
      </c>
      <c r="B21" s="5">
        <v>35.33</v>
      </c>
      <c r="C21" s="1">
        <f t="shared" si="0"/>
        <v>6.5313308992336269E-3</v>
      </c>
    </row>
    <row r="22" spans="1:3" x14ac:dyDescent="0.2">
      <c r="A22" s="4">
        <v>38371</v>
      </c>
      <c r="B22" s="5">
        <v>34.94</v>
      </c>
      <c r="C22" s="1">
        <f t="shared" si="0"/>
        <v>-1.1100156665143376E-2</v>
      </c>
    </row>
    <row r="23" spans="1:3" x14ac:dyDescent="0.2">
      <c r="A23" s="4">
        <v>38372</v>
      </c>
      <c r="B23" s="5">
        <v>35.229999999999997</v>
      </c>
      <c r="C23" s="1">
        <f t="shared" si="0"/>
        <v>8.2656876472356634E-3</v>
      </c>
    </row>
    <row r="24" spans="1:3" x14ac:dyDescent="0.2">
      <c r="A24" s="4">
        <v>38373</v>
      </c>
      <c r="B24" s="5">
        <v>35.24</v>
      </c>
      <c r="C24" s="1">
        <f t="shared" si="0"/>
        <v>2.8380871483265794E-4</v>
      </c>
    </row>
    <row r="25" spans="1:3" x14ac:dyDescent="0.2">
      <c r="A25" s="4">
        <v>38376</v>
      </c>
      <c r="B25" s="5">
        <v>35.380000000000003</v>
      </c>
      <c r="C25" s="1">
        <f t="shared" si="0"/>
        <v>3.9648876636605547E-3</v>
      </c>
    </row>
    <row r="26" spans="1:3" x14ac:dyDescent="0.2">
      <c r="A26" s="4">
        <v>38377</v>
      </c>
      <c r="B26" s="5">
        <v>36.03</v>
      </c>
      <c r="C26" s="1">
        <f t="shared" si="0"/>
        <v>1.820523602836252E-2</v>
      </c>
    </row>
    <row r="27" spans="1:3" x14ac:dyDescent="0.2">
      <c r="A27" s="4">
        <v>38378</v>
      </c>
      <c r="B27" s="5">
        <v>36.119999999999997</v>
      </c>
      <c r="C27" s="1">
        <f t="shared" si="0"/>
        <v>2.4948037887826502E-3</v>
      </c>
    </row>
    <row r="28" spans="1:3" x14ac:dyDescent="0.2">
      <c r="A28" s="4">
        <v>38379</v>
      </c>
      <c r="B28" s="5">
        <v>36.32</v>
      </c>
      <c r="C28" s="1">
        <f t="shared" si="0"/>
        <v>5.5218251843079467E-3</v>
      </c>
    </row>
    <row r="29" spans="1:3" x14ac:dyDescent="0.2">
      <c r="A29" s="4">
        <v>38380</v>
      </c>
      <c r="B29" s="5">
        <v>36.99</v>
      </c>
      <c r="C29" s="1">
        <f t="shared" si="0"/>
        <v>1.8279052111270178E-2</v>
      </c>
    </row>
    <row r="30" spans="1:3" x14ac:dyDescent="0.2">
      <c r="A30" s="4">
        <v>38383</v>
      </c>
      <c r="B30" s="5">
        <v>38.450000000000003</v>
      </c>
      <c r="C30" s="1">
        <f t="shared" si="0"/>
        <v>3.8711090107290409E-2</v>
      </c>
    </row>
    <row r="31" spans="1:3" x14ac:dyDescent="0.2">
      <c r="A31" s="4">
        <v>38384</v>
      </c>
      <c r="B31" s="5">
        <v>38.76</v>
      </c>
      <c r="C31" s="1">
        <f t="shared" si="0"/>
        <v>8.0300910709123433E-3</v>
      </c>
    </row>
    <row r="32" spans="1:3" x14ac:dyDescent="0.2">
      <c r="A32" s="4">
        <v>38385</v>
      </c>
      <c r="B32" s="5">
        <v>39.81</v>
      </c>
      <c r="C32" s="1">
        <f t="shared" si="0"/>
        <v>2.672934998966044E-2</v>
      </c>
    </row>
    <row r="33" spans="1:3" x14ac:dyDescent="0.2">
      <c r="A33" s="4">
        <v>38386</v>
      </c>
      <c r="B33" s="5">
        <v>38.9</v>
      </c>
      <c r="C33" s="1">
        <f t="shared" si="0"/>
        <v>-2.3123886387825348E-2</v>
      </c>
    </row>
    <row r="34" spans="1:3" x14ac:dyDescent="0.2">
      <c r="A34" s="4">
        <v>38387</v>
      </c>
      <c r="B34" s="5">
        <v>39.42</v>
      </c>
      <c r="C34" s="1">
        <f t="shared" si="0"/>
        <v>1.3279051100173578E-2</v>
      </c>
    </row>
    <row r="35" spans="1:3" x14ac:dyDescent="0.2">
      <c r="A35" s="4">
        <v>38390</v>
      </c>
      <c r="B35" s="5">
        <v>39.47</v>
      </c>
      <c r="C35" s="1">
        <f t="shared" si="0"/>
        <v>1.267587950181572E-3</v>
      </c>
    </row>
    <row r="36" spans="1:3" x14ac:dyDescent="0.2">
      <c r="A36" s="4">
        <v>38391</v>
      </c>
      <c r="B36" s="5">
        <v>40.450000000000003</v>
      </c>
      <c r="C36" s="1">
        <f t="shared" si="0"/>
        <v>2.4525753829744996E-2</v>
      </c>
    </row>
    <row r="37" spans="1:3" x14ac:dyDescent="0.2">
      <c r="A37" s="4">
        <v>38392</v>
      </c>
      <c r="B37" s="5">
        <v>39.369999999999997</v>
      </c>
      <c r="C37" s="1">
        <f t="shared" si="0"/>
        <v>-2.7062538548854723E-2</v>
      </c>
    </row>
    <row r="38" spans="1:3" x14ac:dyDescent="0.2">
      <c r="A38" s="4">
        <v>38393</v>
      </c>
      <c r="B38" s="5">
        <v>39.18</v>
      </c>
      <c r="C38" s="1">
        <f t="shared" si="0"/>
        <v>-4.8376924392514445E-3</v>
      </c>
    </row>
    <row r="39" spans="1:3" x14ac:dyDescent="0.2">
      <c r="A39" s="4">
        <v>38394</v>
      </c>
      <c r="B39" s="5">
        <v>40.6</v>
      </c>
      <c r="C39" s="1">
        <f t="shared" si="0"/>
        <v>3.5601654091292262E-2</v>
      </c>
    </row>
    <row r="40" spans="1:3" x14ac:dyDescent="0.2">
      <c r="A40" s="4">
        <v>38397</v>
      </c>
      <c r="B40" s="5">
        <v>42.31</v>
      </c>
      <c r="C40" s="1">
        <f t="shared" si="0"/>
        <v>4.1255398124289119E-2</v>
      </c>
    </row>
    <row r="41" spans="1:3" x14ac:dyDescent="0.2">
      <c r="A41" s="4">
        <v>38398</v>
      </c>
      <c r="B41" s="5">
        <v>44.21</v>
      </c>
      <c r="C41" s="1">
        <f t="shared" si="0"/>
        <v>4.3927543106175637E-2</v>
      </c>
    </row>
    <row r="42" spans="1:3" x14ac:dyDescent="0.2">
      <c r="A42" s="4">
        <v>38399</v>
      </c>
      <c r="B42" s="5">
        <v>45.06</v>
      </c>
      <c r="C42" s="1">
        <f t="shared" si="0"/>
        <v>1.9043927165946484E-2</v>
      </c>
    </row>
    <row r="43" spans="1:3" x14ac:dyDescent="0.2">
      <c r="A43" s="4">
        <v>38400</v>
      </c>
      <c r="B43" s="5">
        <v>43.9</v>
      </c>
      <c r="C43" s="1">
        <f t="shared" si="0"/>
        <v>-2.6080614922972756E-2</v>
      </c>
    </row>
    <row r="44" spans="1:3" x14ac:dyDescent="0.2">
      <c r="A44" s="4">
        <v>38401</v>
      </c>
      <c r="B44" s="5">
        <v>43.4</v>
      </c>
      <c r="C44" s="1">
        <f t="shared" si="0"/>
        <v>-1.1454878974766478E-2</v>
      </c>
    </row>
    <row r="45" spans="1:3" x14ac:dyDescent="0.2">
      <c r="A45" s="4">
        <v>38405</v>
      </c>
      <c r="B45" s="5">
        <v>42.65</v>
      </c>
      <c r="C45" s="1">
        <f t="shared" si="0"/>
        <v>-1.7432167168671003E-2</v>
      </c>
    </row>
    <row r="46" spans="1:3" x14ac:dyDescent="0.2">
      <c r="A46" s="4">
        <v>38406</v>
      </c>
      <c r="B46" s="5">
        <v>44.12</v>
      </c>
      <c r="C46" s="1">
        <f t="shared" si="0"/>
        <v>3.3885920447613481E-2</v>
      </c>
    </row>
    <row r="47" spans="1:3" x14ac:dyDescent="0.2">
      <c r="A47" s="4">
        <v>38407</v>
      </c>
      <c r="B47" s="5">
        <v>44.47</v>
      </c>
      <c r="C47" s="1">
        <f t="shared" si="0"/>
        <v>7.9016101373033422E-3</v>
      </c>
    </row>
    <row r="48" spans="1:3" x14ac:dyDescent="0.2">
      <c r="A48" s="4">
        <v>38408</v>
      </c>
      <c r="B48" s="5">
        <v>44.49</v>
      </c>
      <c r="C48" s="1">
        <f t="shared" si="0"/>
        <v>4.4964029534550165E-4</v>
      </c>
    </row>
    <row r="49" spans="1:4" x14ac:dyDescent="0.2">
      <c r="A49" s="4">
        <v>38411</v>
      </c>
      <c r="B49" s="5">
        <v>44.86</v>
      </c>
      <c r="C49" s="1">
        <f t="shared" si="0"/>
        <v>8.2820842741118048E-3</v>
      </c>
    </row>
    <row r="50" spans="1:4" x14ac:dyDescent="0.2">
      <c r="A50" s="4">
        <v>38412</v>
      </c>
      <c r="B50" s="5">
        <v>44.5</v>
      </c>
      <c r="C50" s="1">
        <f t="shared" si="0"/>
        <v>-8.0573399198676978E-3</v>
      </c>
    </row>
    <row r="51" spans="1:4" x14ac:dyDescent="0.2">
      <c r="A51" s="4">
        <v>38413</v>
      </c>
      <c r="B51" s="5">
        <v>44.12</v>
      </c>
      <c r="C51" s="1">
        <f t="shared" si="0"/>
        <v>-8.5759947868928547E-3</v>
      </c>
    </row>
    <row r="52" spans="1:4" x14ac:dyDescent="0.2">
      <c r="A52" s="4">
        <v>38414</v>
      </c>
      <c r="B52" s="5">
        <v>41.79</v>
      </c>
      <c r="C52" s="1">
        <f t="shared" si="0"/>
        <v>-5.4256117925477645E-2</v>
      </c>
    </row>
    <row r="53" spans="1:4" x14ac:dyDescent="0.2">
      <c r="A53" s="4">
        <v>38415</v>
      </c>
      <c r="B53" s="5">
        <v>42.81</v>
      </c>
      <c r="C53" s="1">
        <f t="shared" si="0"/>
        <v>2.4114643697030789E-2</v>
      </c>
    </row>
    <row r="54" spans="1:4" x14ac:dyDescent="0.2">
      <c r="A54" s="4">
        <v>38418</v>
      </c>
      <c r="B54" s="5">
        <v>42.75</v>
      </c>
      <c r="C54" s="1">
        <f t="shared" si="0"/>
        <v>-1.4025247740855468E-3</v>
      </c>
    </row>
    <row r="55" spans="1:4" x14ac:dyDescent="0.2">
      <c r="A55" s="4">
        <v>38419</v>
      </c>
      <c r="B55" s="5">
        <v>40.53</v>
      </c>
      <c r="C55" s="1">
        <f t="shared" si="0"/>
        <v>-5.3326754742552024E-2</v>
      </c>
    </row>
    <row r="56" spans="1:4" x14ac:dyDescent="0.2">
      <c r="A56" s="4">
        <v>38420</v>
      </c>
      <c r="B56" s="5">
        <v>39.35</v>
      </c>
      <c r="C56" s="1">
        <f t="shared" si="0"/>
        <v>-2.9546465776804951E-2</v>
      </c>
    </row>
    <row r="57" spans="1:4" x14ac:dyDescent="0.2">
      <c r="A57" s="4">
        <v>38421</v>
      </c>
      <c r="B57" s="5">
        <v>39.83</v>
      </c>
      <c r="C57" s="1">
        <f t="shared" si="0"/>
        <v>1.2124422330140465E-2</v>
      </c>
    </row>
    <row r="58" spans="1:4" x14ac:dyDescent="0.2">
      <c r="A58" s="4">
        <v>38422</v>
      </c>
      <c r="B58" s="5">
        <v>40.270000000000003</v>
      </c>
      <c r="C58" s="1">
        <f t="shared" si="0"/>
        <v>1.098637766981005E-2</v>
      </c>
    </row>
    <row r="59" spans="1:4" x14ac:dyDescent="0.2">
      <c r="A59" s="4">
        <v>38425</v>
      </c>
      <c r="B59" s="5">
        <v>40.32</v>
      </c>
      <c r="C59" s="1">
        <f t="shared" si="0"/>
        <v>1.2408488997504054E-3</v>
      </c>
    </row>
    <row r="60" spans="1:4" x14ac:dyDescent="0.2">
      <c r="A60" s="4">
        <v>38426</v>
      </c>
      <c r="B60" s="5">
        <v>40.96</v>
      </c>
      <c r="C60" s="1">
        <f t="shared" si="0"/>
        <v>1.5748356968139112E-2</v>
      </c>
    </row>
    <row r="61" spans="1:4" x14ac:dyDescent="0.2">
      <c r="A61" s="4">
        <v>38427</v>
      </c>
      <c r="B61" s="5">
        <v>41.18</v>
      </c>
      <c r="C61" s="1">
        <f t="shared" si="0"/>
        <v>5.3567208683910445E-3</v>
      </c>
      <c r="D61" s="1">
        <f t="shared" ref="D61:D124" si="1">STDEV(C12:C61)*SQRT($B$2)</f>
        <v>0.49792374037107112</v>
      </c>
    </row>
    <row r="62" spans="1:4" x14ac:dyDescent="0.2">
      <c r="A62" s="4">
        <v>38428</v>
      </c>
      <c r="B62" s="5">
        <v>42.25</v>
      </c>
      <c r="C62" s="1">
        <f t="shared" si="0"/>
        <v>2.565165220353955E-2</v>
      </c>
      <c r="D62" s="1">
        <f t="shared" si="1"/>
        <v>0.50081599047900727</v>
      </c>
    </row>
    <row r="63" spans="1:4" x14ac:dyDescent="0.2">
      <c r="A63" s="4">
        <v>38429</v>
      </c>
      <c r="B63" s="5">
        <v>42.96</v>
      </c>
      <c r="C63" s="1">
        <f t="shared" si="0"/>
        <v>1.6665096397426513E-2</v>
      </c>
      <c r="D63" s="1">
        <f t="shared" si="1"/>
        <v>0.50164687651697148</v>
      </c>
    </row>
    <row r="64" spans="1:4" x14ac:dyDescent="0.2">
      <c r="A64" s="4">
        <v>38432</v>
      </c>
      <c r="B64" s="5">
        <v>43.7</v>
      </c>
      <c r="C64" s="1">
        <f t="shared" si="0"/>
        <v>1.7078651900935295E-2</v>
      </c>
      <c r="D64" s="1">
        <f t="shared" si="1"/>
        <v>0.50239153732337816</v>
      </c>
    </row>
    <row r="65" spans="1:4" x14ac:dyDescent="0.2">
      <c r="A65" s="4">
        <v>38433</v>
      </c>
      <c r="B65" s="5">
        <v>42.83</v>
      </c>
      <c r="C65" s="1">
        <f t="shared" si="0"/>
        <v>-2.0109310474264983E-2</v>
      </c>
      <c r="D65" s="1">
        <f t="shared" si="1"/>
        <v>0.4752350307896096</v>
      </c>
    </row>
    <row r="66" spans="1:4" x14ac:dyDescent="0.2">
      <c r="A66" s="4">
        <v>38434</v>
      </c>
      <c r="B66" s="5">
        <v>42.55</v>
      </c>
      <c r="C66" s="1">
        <f t="shared" si="0"/>
        <v>-6.5589366078964446E-3</v>
      </c>
      <c r="D66" s="1">
        <f t="shared" si="1"/>
        <v>0.47560960337144631</v>
      </c>
    </row>
    <row r="67" spans="1:4" x14ac:dyDescent="0.2">
      <c r="A67" s="4">
        <v>38435</v>
      </c>
      <c r="B67" s="5">
        <v>42.5</v>
      </c>
      <c r="C67" s="1">
        <f t="shared" si="0"/>
        <v>-1.1757790890119504E-3</v>
      </c>
      <c r="D67" s="1">
        <f t="shared" si="1"/>
        <v>0.4349159418819728</v>
      </c>
    </row>
    <row r="68" spans="1:4" x14ac:dyDescent="0.2">
      <c r="A68" s="4">
        <v>38439</v>
      </c>
      <c r="B68" s="5">
        <v>42.53</v>
      </c>
      <c r="C68" s="1">
        <f t="shared" si="0"/>
        <v>7.0563333517095728E-4</v>
      </c>
      <c r="D68" s="1">
        <f t="shared" si="1"/>
        <v>0.43448700253745304</v>
      </c>
    </row>
    <row r="69" spans="1:4" x14ac:dyDescent="0.2">
      <c r="A69" s="4">
        <v>38440</v>
      </c>
      <c r="B69" s="5">
        <v>41.75</v>
      </c>
      <c r="C69" s="1">
        <f t="shared" si="0"/>
        <v>-1.8510257968677706E-2</v>
      </c>
      <c r="D69" s="1">
        <f t="shared" si="1"/>
        <v>0.40751630351597656</v>
      </c>
    </row>
    <row r="70" spans="1:4" x14ac:dyDescent="0.2">
      <c r="A70" s="4">
        <v>38441</v>
      </c>
      <c r="B70" s="5">
        <v>42.8</v>
      </c>
      <c r="C70" s="1">
        <f t="shared" si="0"/>
        <v>2.4838651290886617E-2</v>
      </c>
      <c r="D70" s="1">
        <f t="shared" si="1"/>
        <v>0.41151710229677285</v>
      </c>
    </row>
    <row r="71" spans="1:4" x14ac:dyDescent="0.2">
      <c r="A71" s="4">
        <v>38442</v>
      </c>
      <c r="B71" s="5">
        <v>41.67</v>
      </c>
      <c r="C71" s="1">
        <f t="shared" si="0"/>
        <v>-2.6756657153388947E-2</v>
      </c>
      <c r="D71" s="1">
        <f t="shared" si="1"/>
        <v>0.41971840971589153</v>
      </c>
    </row>
    <row r="72" spans="1:4" x14ac:dyDescent="0.2">
      <c r="A72" s="4">
        <v>38443</v>
      </c>
      <c r="B72" s="5">
        <v>40.89</v>
      </c>
      <c r="C72" s="1">
        <f t="shared" si="0"/>
        <v>-1.8895911057811188E-2</v>
      </c>
      <c r="D72" s="1">
        <f t="shared" si="1"/>
        <v>0.42223186998998991</v>
      </c>
    </row>
    <row r="73" spans="1:4" x14ac:dyDescent="0.2">
      <c r="A73" s="4">
        <v>38446</v>
      </c>
      <c r="B73" s="5">
        <v>41.09</v>
      </c>
      <c r="C73" s="1">
        <f t="shared" si="0"/>
        <v>4.87924851876747E-3</v>
      </c>
      <c r="D73" s="1">
        <f t="shared" si="1"/>
        <v>0.42202503183925377</v>
      </c>
    </row>
    <row r="74" spans="1:4" x14ac:dyDescent="0.2">
      <c r="A74" s="4">
        <v>38447</v>
      </c>
      <c r="B74" s="5">
        <v>41.89</v>
      </c>
      <c r="C74" s="1">
        <f t="shared" si="0"/>
        <v>1.9282352063625101E-2</v>
      </c>
      <c r="D74" s="1">
        <f t="shared" si="1"/>
        <v>0.42420436685826401</v>
      </c>
    </row>
    <row r="75" spans="1:4" x14ac:dyDescent="0.2">
      <c r="A75" s="4">
        <v>38448</v>
      </c>
      <c r="B75" s="5">
        <v>42.33</v>
      </c>
      <c r="C75" s="1">
        <f t="shared" si="0"/>
        <v>1.0448919573888727E-2</v>
      </c>
      <c r="D75" s="1">
        <f t="shared" si="1"/>
        <v>0.42462370174907305</v>
      </c>
    </row>
    <row r="76" spans="1:4" x14ac:dyDescent="0.2">
      <c r="A76" s="4">
        <v>38449</v>
      </c>
      <c r="B76" s="5">
        <v>43.56</v>
      </c>
      <c r="C76" s="1">
        <f t="shared" ref="C76:C139" si="2">LN(B76/B75)</f>
        <v>2.864324353192749E-2</v>
      </c>
      <c r="D76" s="1">
        <f t="shared" si="1"/>
        <v>0.42822172831406696</v>
      </c>
    </row>
    <row r="77" spans="1:4" x14ac:dyDescent="0.2">
      <c r="A77" s="4">
        <v>38450</v>
      </c>
      <c r="B77" s="5">
        <v>43.74</v>
      </c>
      <c r="C77" s="1">
        <f t="shared" si="2"/>
        <v>4.1237171838621562E-3</v>
      </c>
      <c r="D77" s="1">
        <f t="shared" si="1"/>
        <v>0.42820748182201446</v>
      </c>
    </row>
    <row r="78" spans="1:4" x14ac:dyDescent="0.2">
      <c r="A78" s="4">
        <v>38453</v>
      </c>
      <c r="B78" s="5">
        <v>41.92</v>
      </c>
      <c r="C78" s="1">
        <f t="shared" si="2"/>
        <v>-4.2499975235835118E-2</v>
      </c>
      <c r="D78" s="1">
        <f t="shared" si="1"/>
        <v>0.44607684737204856</v>
      </c>
    </row>
    <row r="79" spans="1:4" x14ac:dyDescent="0.2">
      <c r="A79" s="4">
        <v>38454</v>
      </c>
      <c r="B79" s="5">
        <v>42.66</v>
      </c>
      <c r="C79" s="1">
        <f t="shared" si="2"/>
        <v>1.7498673030417643E-2</v>
      </c>
      <c r="D79" s="1">
        <f t="shared" si="1"/>
        <v>0.44588095761895613</v>
      </c>
    </row>
    <row r="80" spans="1:4" x14ac:dyDescent="0.2">
      <c r="A80" s="4">
        <v>38455</v>
      </c>
      <c r="B80" s="5">
        <v>41.04</v>
      </c>
      <c r="C80" s="1">
        <f t="shared" si="2"/>
        <v>-3.8714512180690393E-2</v>
      </c>
      <c r="D80" s="1">
        <f t="shared" si="1"/>
        <v>0.44856300648336001</v>
      </c>
    </row>
    <row r="81" spans="1:4" x14ac:dyDescent="0.2">
      <c r="A81" s="4">
        <v>38456</v>
      </c>
      <c r="B81" s="5">
        <v>37.26</v>
      </c>
      <c r="C81" s="1">
        <f t="shared" si="2"/>
        <v>-9.6626835689071766E-2</v>
      </c>
      <c r="D81" s="1">
        <f t="shared" si="1"/>
        <v>0.52026790189777128</v>
      </c>
    </row>
    <row r="82" spans="1:4" x14ac:dyDescent="0.2">
      <c r="A82" s="4">
        <v>38457</v>
      </c>
      <c r="B82" s="5">
        <v>35.35</v>
      </c>
      <c r="C82" s="1">
        <f t="shared" si="2"/>
        <v>-5.2621972830860522E-2</v>
      </c>
      <c r="D82" s="1">
        <f t="shared" si="1"/>
        <v>0.53302178844705339</v>
      </c>
    </row>
    <row r="83" spans="1:4" x14ac:dyDescent="0.2">
      <c r="A83" s="4">
        <v>38460</v>
      </c>
      <c r="B83" s="5">
        <v>35.619999999999997</v>
      </c>
      <c r="C83" s="1">
        <f t="shared" si="2"/>
        <v>7.6088855189338058E-3</v>
      </c>
      <c r="D83" s="1">
        <f t="shared" si="1"/>
        <v>0.53057303553925605</v>
      </c>
    </row>
    <row r="84" spans="1:4" x14ac:dyDescent="0.2">
      <c r="A84" s="4">
        <v>38461</v>
      </c>
      <c r="B84" s="5">
        <v>37.090000000000003</v>
      </c>
      <c r="C84" s="1">
        <f t="shared" si="2"/>
        <v>4.044011363998401E-2</v>
      </c>
      <c r="D84" s="1">
        <f t="shared" si="1"/>
        <v>0.54127562105760052</v>
      </c>
    </row>
    <row r="85" spans="1:4" x14ac:dyDescent="0.2">
      <c r="A85" s="4">
        <v>38462</v>
      </c>
      <c r="B85" s="5">
        <v>35.51</v>
      </c>
      <c r="C85" s="1">
        <f t="shared" si="2"/>
        <v>-4.3533044546503044E-2</v>
      </c>
      <c r="D85" s="1">
        <f t="shared" si="1"/>
        <v>0.5531471612076444</v>
      </c>
    </row>
    <row r="86" spans="1:4" x14ac:dyDescent="0.2">
      <c r="A86" s="4">
        <v>38463</v>
      </c>
      <c r="B86" s="5">
        <v>37.18</v>
      </c>
      <c r="C86" s="1">
        <f t="shared" si="2"/>
        <v>4.5956635338301528E-2</v>
      </c>
      <c r="D86" s="1">
        <f t="shared" si="1"/>
        <v>0.56376427668629336</v>
      </c>
    </row>
    <row r="87" spans="1:4" x14ac:dyDescent="0.2">
      <c r="A87" s="4">
        <v>38464</v>
      </c>
      <c r="B87" s="5">
        <v>35.5</v>
      </c>
      <c r="C87" s="1">
        <f t="shared" si="2"/>
        <v>-4.6238285811927841E-2</v>
      </c>
      <c r="D87" s="1">
        <f t="shared" si="1"/>
        <v>0.57250678517351694</v>
      </c>
    </row>
    <row r="88" spans="1:4" x14ac:dyDescent="0.2">
      <c r="A88" s="4">
        <v>38467</v>
      </c>
      <c r="B88" s="5">
        <v>36.979999999999997</v>
      </c>
      <c r="C88" s="1">
        <f t="shared" si="2"/>
        <v>4.084452947760854E-2</v>
      </c>
      <c r="D88" s="1">
        <f t="shared" si="1"/>
        <v>0.58404976985932444</v>
      </c>
    </row>
    <row r="89" spans="1:4" x14ac:dyDescent="0.2">
      <c r="A89" s="4">
        <v>38468</v>
      </c>
      <c r="B89" s="5">
        <v>36.19</v>
      </c>
      <c r="C89" s="1">
        <f t="shared" si="2"/>
        <v>-2.1594388383327685E-2</v>
      </c>
      <c r="D89" s="1">
        <f t="shared" si="1"/>
        <v>0.57764529749932336</v>
      </c>
    </row>
    <row r="90" spans="1:4" x14ac:dyDescent="0.2">
      <c r="A90" s="4">
        <v>38469</v>
      </c>
      <c r="B90" s="5">
        <v>35.950000000000003</v>
      </c>
      <c r="C90" s="1">
        <f t="shared" si="2"/>
        <v>-6.6537534085952827E-3</v>
      </c>
      <c r="D90" s="1">
        <f t="shared" si="1"/>
        <v>0.56510378735518874</v>
      </c>
    </row>
    <row r="91" spans="1:4" x14ac:dyDescent="0.2">
      <c r="A91" s="4">
        <v>38470</v>
      </c>
      <c r="B91" s="5">
        <v>35.54</v>
      </c>
      <c r="C91" s="1">
        <f t="shared" si="2"/>
        <v>-1.1470261440550548E-2</v>
      </c>
      <c r="D91" s="1">
        <f t="shared" si="1"/>
        <v>0.55027499968728055</v>
      </c>
    </row>
    <row r="92" spans="1:4" x14ac:dyDescent="0.2">
      <c r="A92" s="4">
        <v>38471</v>
      </c>
      <c r="B92" s="5">
        <v>36.06</v>
      </c>
      <c r="C92" s="1">
        <f t="shared" si="2"/>
        <v>1.4525395048666035E-2</v>
      </c>
      <c r="D92" s="1">
        <f t="shared" si="1"/>
        <v>0.54897700040928454</v>
      </c>
    </row>
    <row r="93" spans="1:4" x14ac:dyDescent="0.2">
      <c r="A93" s="4">
        <v>38474</v>
      </c>
      <c r="B93" s="5">
        <v>36.43</v>
      </c>
      <c r="C93" s="1">
        <f t="shared" si="2"/>
        <v>1.0208393245301208E-2</v>
      </c>
      <c r="D93" s="1">
        <f t="shared" si="1"/>
        <v>0.5470815414193505</v>
      </c>
    </row>
    <row r="94" spans="1:4" x14ac:dyDescent="0.2">
      <c r="A94" s="4">
        <v>38475</v>
      </c>
      <c r="B94" s="5">
        <v>36.21</v>
      </c>
      <c r="C94" s="1">
        <f t="shared" si="2"/>
        <v>-6.057287242922588E-3</v>
      </c>
      <c r="D94" s="1">
        <f t="shared" si="1"/>
        <v>0.54670809814241184</v>
      </c>
    </row>
    <row r="95" spans="1:4" x14ac:dyDescent="0.2">
      <c r="A95" s="4">
        <v>38476</v>
      </c>
      <c r="B95" s="5">
        <v>37.15</v>
      </c>
      <c r="C95" s="1">
        <f t="shared" si="2"/>
        <v>2.562844738621833E-2</v>
      </c>
      <c r="D95" s="1">
        <f t="shared" si="1"/>
        <v>0.55096860292992744</v>
      </c>
    </row>
    <row r="96" spans="1:4" x14ac:dyDescent="0.2">
      <c r="A96" s="4">
        <v>38477</v>
      </c>
      <c r="B96" s="5">
        <v>36.68</v>
      </c>
      <c r="C96" s="1">
        <f t="shared" si="2"/>
        <v>-1.2732123775504017E-2</v>
      </c>
      <c r="D96" s="1">
        <f t="shared" si="1"/>
        <v>0.54219838781854612</v>
      </c>
    </row>
    <row r="97" spans="1:4" x14ac:dyDescent="0.2">
      <c r="A97" s="4">
        <v>38478</v>
      </c>
      <c r="B97" s="5">
        <v>37.24</v>
      </c>
      <c r="C97" s="1">
        <f t="shared" si="2"/>
        <v>1.5151805020602246E-2</v>
      </c>
      <c r="D97" s="1">
        <f t="shared" si="1"/>
        <v>0.54370511920712394</v>
      </c>
    </row>
    <row r="98" spans="1:4" x14ac:dyDescent="0.2">
      <c r="A98" s="4">
        <v>38481</v>
      </c>
      <c r="B98" s="5">
        <v>36.97</v>
      </c>
      <c r="C98" s="1">
        <f t="shared" si="2"/>
        <v>-7.2766794603258689E-3</v>
      </c>
      <c r="D98" s="1">
        <f t="shared" si="1"/>
        <v>0.54368263852267129</v>
      </c>
    </row>
    <row r="99" spans="1:4" x14ac:dyDescent="0.2">
      <c r="A99" s="4">
        <v>38482</v>
      </c>
      <c r="B99" s="5">
        <v>36.42</v>
      </c>
      <c r="C99" s="1">
        <f t="shared" si="2"/>
        <v>-1.4988698649078576E-2</v>
      </c>
      <c r="D99" s="1">
        <f t="shared" si="1"/>
        <v>0.54349686972739908</v>
      </c>
    </row>
    <row r="100" spans="1:4" x14ac:dyDescent="0.2">
      <c r="A100" s="4">
        <v>38483</v>
      </c>
      <c r="B100" s="5">
        <v>35.61</v>
      </c>
      <c r="C100" s="1">
        <f t="shared" si="2"/>
        <v>-2.2491577009775599E-2</v>
      </c>
      <c r="D100" s="1">
        <f t="shared" si="1"/>
        <v>0.54566109066812918</v>
      </c>
    </row>
    <row r="101" spans="1:4" x14ac:dyDescent="0.2">
      <c r="A101" s="4">
        <v>38484</v>
      </c>
      <c r="B101" s="5">
        <v>34.130000000000003</v>
      </c>
      <c r="C101" s="1">
        <f t="shared" si="2"/>
        <v>-4.2449734371070545E-2</v>
      </c>
      <c r="D101" s="1">
        <f t="shared" si="1"/>
        <v>0.55515834453179813</v>
      </c>
    </row>
    <row r="102" spans="1:4" x14ac:dyDescent="0.2">
      <c r="A102" s="4">
        <v>38485</v>
      </c>
      <c r="B102" s="5">
        <v>34.770000000000003</v>
      </c>
      <c r="C102" s="1">
        <f t="shared" si="2"/>
        <v>1.857818310115433E-2</v>
      </c>
      <c r="D102" s="1">
        <f t="shared" si="1"/>
        <v>0.54187205946035266</v>
      </c>
    </row>
    <row r="103" spans="1:4" x14ac:dyDescent="0.2">
      <c r="A103" s="4">
        <v>38488</v>
      </c>
      <c r="B103" s="5">
        <v>35.549999999999997</v>
      </c>
      <c r="C103" s="1">
        <f t="shared" si="2"/>
        <v>2.2185210229479783E-2</v>
      </c>
      <c r="D103" s="1">
        <f t="shared" si="1"/>
        <v>0.54115950919913725</v>
      </c>
    </row>
    <row r="104" spans="1:4" x14ac:dyDescent="0.2">
      <c r="A104" s="4">
        <v>38489</v>
      </c>
      <c r="B104" s="5">
        <v>35.36</v>
      </c>
      <c r="C104" s="1">
        <f t="shared" si="2"/>
        <v>-5.3589184798071019E-3</v>
      </c>
      <c r="D104" s="1">
        <f t="shared" si="1"/>
        <v>0.54113906083403596</v>
      </c>
    </row>
    <row r="105" spans="1:4" x14ac:dyDescent="0.2">
      <c r="A105" s="4">
        <v>38490</v>
      </c>
      <c r="B105" s="5">
        <v>35.840000000000003</v>
      </c>
      <c r="C105" s="1">
        <f t="shared" si="2"/>
        <v>1.3483350337287207E-2</v>
      </c>
      <c r="D105" s="1">
        <f t="shared" si="1"/>
        <v>0.52546721724465795</v>
      </c>
    </row>
    <row r="106" spans="1:4" x14ac:dyDescent="0.2">
      <c r="A106" s="4">
        <v>38491</v>
      </c>
      <c r="B106" s="5">
        <v>37.549999999999997</v>
      </c>
      <c r="C106" s="1">
        <f t="shared" si="2"/>
        <v>4.6608790103413844E-2</v>
      </c>
      <c r="D106" s="1">
        <f t="shared" si="1"/>
        <v>0.53639666122535279</v>
      </c>
    </row>
    <row r="107" spans="1:4" x14ac:dyDescent="0.2">
      <c r="A107" s="4">
        <v>38492</v>
      </c>
      <c r="B107" s="5">
        <v>37.549999999999997</v>
      </c>
      <c r="C107" s="1">
        <f t="shared" si="2"/>
        <v>0</v>
      </c>
      <c r="D107" s="1">
        <f t="shared" si="1"/>
        <v>0.53519652032993958</v>
      </c>
    </row>
    <row r="108" spans="1:4" x14ac:dyDescent="0.2">
      <c r="A108" s="4">
        <v>38495</v>
      </c>
      <c r="B108" s="5">
        <v>39.76</v>
      </c>
      <c r="C108" s="1">
        <f t="shared" si="2"/>
        <v>5.7188003578229486E-2</v>
      </c>
      <c r="D108" s="1">
        <f t="shared" si="1"/>
        <v>0.55712775321337049</v>
      </c>
    </row>
    <row r="109" spans="1:4" x14ac:dyDescent="0.2">
      <c r="A109" s="4">
        <v>38496</v>
      </c>
      <c r="B109" s="5">
        <v>39.700000000000003</v>
      </c>
      <c r="C109" s="1">
        <f t="shared" si="2"/>
        <v>-1.5101940952284285E-3</v>
      </c>
      <c r="D109" s="1">
        <f t="shared" si="1"/>
        <v>0.55712231875434459</v>
      </c>
    </row>
    <row r="110" spans="1:4" x14ac:dyDescent="0.2">
      <c r="A110" s="4">
        <v>38497</v>
      </c>
      <c r="B110" s="5">
        <v>39.78</v>
      </c>
      <c r="C110" s="1">
        <f t="shared" si="2"/>
        <v>2.0130857326812971E-3</v>
      </c>
      <c r="D110" s="1">
        <f t="shared" si="1"/>
        <v>0.55540661867586572</v>
      </c>
    </row>
    <row r="111" spans="1:4" x14ac:dyDescent="0.2">
      <c r="A111" s="4">
        <v>38498</v>
      </c>
      <c r="B111" s="5">
        <v>40.74</v>
      </c>
      <c r="C111" s="1">
        <f t="shared" si="2"/>
        <v>2.3846137372833535E-2</v>
      </c>
      <c r="D111" s="1">
        <f t="shared" si="1"/>
        <v>0.55911416784906975</v>
      </c>
    </row>
    <row r="112" spans="1:4" x14ac:dyDescent="0.2">
      <c r="A112" s="4">
        <v>38499</v>
      </c>
      <c r="B112" s="5">
        <v>40.56</v>
      </c>
      <c r="C112" s="1">
        <f t="shared" si="2"/>
        <v>-4.4280515157320201E-3</v>
      </c>
      <c r="D112" s="1">
        <f t="shared" si="1"/>
        <v>0.55463695682239333</v>
      </c>
    </row>
    <row r="113" spans="1:4" x14ac:dyDescent="0.2">
      <c r="A113" s="4">
        <v>38503</v>
      </c>
      <c r="B113" s="5">
        <v>39.76</v>
      </c>
      <c r="C113" s="1">
        <f t="shared" si="2"/>
        <v>-1.9920977494554539E-2</v>
      </c>
      <c r="D113" s="1">
        <f t="shared" si="1"/>
        <v>0.55485588525581409</v>
      </c>
    </row>
    <row r="114" spans="1:4" x14ac:dyDescent="0.2">
      <c r="A114" s="4">
        <v>38504</v>
      </c>
      <c r="B114" s="5">
        <v>40.299999999999997</v>
      </c>
      <c r="C114" s="1">
        <f t="shared" si="2"/>
        <v>1.3490087164264072E-2</v>
      </c>
      <c r="D114" s="1">
        <f t="shared" si="1"/>
        <v>0.5540426240003804</v>
      </c>
    </row>
    <row r="115" spans="1:4" x14ac:dyDescent="0.2">
      <c r="A115" s="4">
        <v>38505</v>
      </c>
      <c r="B115" s="5">
        <v>40.04</v>
      </c>
      <c r="C115" s="1">
        <f t="shared" si="2"/>
        <v>-6.4725145056173669E-3</v>
      </c>
      <c r="D115" s="1">
        <f t="shared" si="1"/>
        <v>0.55187357552145677</v>
      </c>
    </row>
    <row r="116" spans="1:4" x14ac:dyDescent="0.2">
      <c r="A116" s="4">
        <v>38506</v>
      </c>
      <c r="B116" s="5">
        <v>38.24</v>
      </c>
      <c r="C116" s="1">
        <f t="shared" si="2"/>
        <v>-4.5996866263819214E-2</v>
      </c>
      <c r="D116" s="1">
        <f t="shared" si="1"/>
        <v>0.56478370238148679</v>
      </c>
    </row>
    <row r="117" spans="1:4" x14ac:dyDescent="0.2">
      <c r="A117" s="4">
        <v>38509</v>
      </c>
      <c r="B117" s="5">
        <v>37.92</v>
      </c>
      <c r="C117" s="1">
        <f t="shared" si="2"/>
        <v>-8.4034107963795041E-3</v>
      </c>
      <c r="D117" s="1">
        <f t="shared" si="1"/>
        <v>0.56502971942451685</v>
      </c>
    </row>
    <row r="118" spans="1:4" x14ac:dyDescent="0.2">
      <c r="A118" s="4">
        <v>38510</v>
      </c>
      <c r="B118" s="5">
        <v>36.54</v>
      </c>
      <c r="C118" s="1">
        <f t="shared" si="2"/>
        <v>-3.7071126436960485E-2</v>
      </c>
      <c r="D118" s="1">
        <f t="shared" si="1"/>
        <v>0.57270909169441409</v>
      </c>
    </row>
    <row r="119" spans="1:4" x14ac:dyDescent="0.2">
      <c r="A119" s="4">
        <v>38511</v>
      </c>
      <c r="B119" s="5">
        <v>36.92</v>
      </c>
      <c r="C119" s="1">
        <f t="shared" si="2"/>
        <v>1.0345858684790776E-2</v>
      </c>
      <c r="D119" s="1">
        <f t="shared" si="1"/>
        <v>0.57220792747748628</v>
      </c>
    </row>
    <row r="120" spans="1:4" x14ac:dyDescent="0.2">
      <c r="A120" s="4">
        <v>38512</v>
      </c>
      <c r="B120" s="5">
        <v>37.65</v>
      </c>
      <c r="C120" s="1">
        <f t="shared" si="2"/>
        <v>1.9579544611251058E-2</v>
      </c>
      <c r="D120" s="1">
        <f t="shared" si="1"/>
        <v>0.57051297404856705</v>
      </c>
    </row>
    <row r="121" spans="1:4" x14ac:dyDescent="0.2">
      <c r="A121" s="4">
        <v>38513</v>
      </c>
      <c r="B121" s="5">
        <v>35.81</v>
      </c>
      <c r="C121" s="1">
        <f t="shared" si="2"/>
        <v>-5.0105770235561162E-2</v>
      </c>
      <c r="D121" s="1">
        <f t="shared" si="1"/>
        <v>0.58127476758606256</v>
      </c>
    </row>
    <row r="122" spans="1:4" x14ac:dyDescent="0.2">
      <c r="A122" s="4">
        <v>38516</v>
      </c>
      <c r="B122" s="5">
        <v>35.9</v>
      </c>
      <c r="C122" s="1">
        <f t="shared" si="2"/>
        <v>2.5101114838916865E-3</v>
      </c>
      <c r="D122" s="1">
        <f t="shared" si="1"/>
        <v>0.57979820320436215</v>
      </c>
    </row>
    <row r="123" spans="1:4" x14ac:dyDescent="0.2">
      <c r="A123" s="4">
        <v>38517</v>
      </c>
      <c r="B123" s="5">
        <v>36</v>
      </c>
      <c r="C123" s="1">
        <f t="shared" si="2"/>
        <v>2.7816429618767705E-3</v>
      </c>
      <c r="D123" s="1">
        <f t="shared" si="1"/>
        <v>0.57962423740531521</v>
      </c>
    </row>
    <row r="124" spans="1:4" x14ac:dyDescent="0.2">
      <c r="A124" s="4">
        <v>38518</v>
      </c>
      <c r="B124" s="5">
        <v>37.130000000000003</v>
      </c>
      <c r="C124" s="1">
        <f t="shared" si="2"/>
        <v>3.0906329732878733E-2</v>
      </c>
      <c r="D124" s="1">
        <f t="shared" si="1"/>
        <v>0.58373609836681351</v>
      </c>
    </row>
    <row r="125" spans="1:4" x14ac:dyDescent="0.2">
      <c r="A125" s="4">
        <v>38519</v>
      </c>
      <c r="B125" s="5">
        <v>37.979999999999997</v>
      </c>
      <c r="C125" s="1">
        <f t="shared" si="2"/>
        <v>2.2634437195150851E-2</v>
      </c>
      <c r="D125" s="1">
        <f t="shared" ref="D125:D188" si="3">STDEV(C76:C125)*SQRT($B$2)</f>
        <v>0.58665716458979877</v>
      </c>
    </row>
    <row r="126" spans="1:4" x14ac:dyDescent="0.2">
      <c r="A126" s="4">
        <v>38520</v>
      </c>
      <c r="B126" s="5">
        <v>38.31</v>
      </c>
      <c r="C126" s="1">
        <f t="shared" si="2"/>
        <v>8.6512533284178652E-3</v>
      </c>
      <c r="D126" s="1">
        <f t="shared" si="3"/>
        <v>0.58129790776424661</v>
      </c>
    </row>
    <row r="127" spans="1:4" x14ac:dyDescent="0.2">
      <c r="A127" s="4">
        <v>38523</v>
      </c>
      <c r="B127" s="5">
        <v>37.61</v>
      </c>
      <c r="C127" s="1">
        <f t="shared" si="2"/>
        <v>-1.844098623031265E-2</v>
      </c>
      <c r="D127" s="1">
        <f t="shared" si="3"/>
        <v>0.58255852605774883</v>
      </c>
    </row>
    <row r="128" spans="1:4" x14ac:dyDescent="0.2">
      <c r="A128" s="4">
        <v>38524</v>
      </c>
      <c r="B128" s="5">
        <v>37.86</v>
      </c>
      <c r="C128" s="1">
        <f t="shared" si="2"/>
        <v>6.6251732989316622E-3</v>
      </c>
      <c r="D128" s="1">
        <f t="shared" si="3"/>
        <v>0.57279777354191985</v>
      </c>
    </row>
    <row r="129" spans="1:4" x14ac:dyDescent="0.2">
      <c r="A129" s="4">
        <v>38525</v>
      </c>
      <c r="B129" s="5">
        <v>38.549999999999997</v>
      </c>
      <c r="C129" s="1">
        <f t="shared" si="2"/>
        <v>1.8060954228161633E-2</v>
      </c>
      <c r="D129" s="1">
        <f t="shared" si="3"/>
        <v>0.57294262155511144</v>
      </c>
    </row>
    <row r="130" spans="1:4" x14ac:dyDescent="0.2">
      <c r="A130" s="4">
        <v>38526</v>
      </c>
      <c r="B130" s="5">
        <v>38.89</v>
      </c>
      <c r="C130" s="1">
        <f t="shared" si="2"/>
        <v>8.7810481583176121E-3</v>
      </c>
      <c r="D130" s="1">
        <f t="shared" si="3"/>
        <v>0.56459769921480818</v>
      </c>
    </row>
    <row r="131" spans="1:4" x14ac:dyDescent="0.2">
      <c r="A131" s="4">
        <v>38527</v>
      </c>
      <c r="B131" s="5">
        <v>37.76</v>
      </c>
      <c r="C131" s="1">
        <f t="shared" si="2"/>
        <v>-2.9486806890356092E-2</v>
      </c>
      <c r="D131" s="1">
        <f t="shared" si="3"/>
        <v>0.50606611769609677</v>
      </c>
    </row>
    <row r="132" spans="1:4" x14ac:dyDescent="0.2">
      <c r="A132" s="4">
        <v>38530</v>
      </c>
      <c r="B132" s="5">
        <v>37.1</v>
      </c>
      <c r="C132" s="1">
        <f t="shared" si="2"/>
        <v>-1.7633371663910352E-2</v>
      </c>
      <c r="D132" s="1">
        <f t="shared" si="3"/>
        <v>0.48730992232960929</v>
      </c>
    </row>
    <row r="133" spans="1:4" x14ac:dyDescent="0.2">
      <c r="A133" s="4">
        <v>38531</v>
      </c>
      <c r="B133" s="5">
        <v>37.31</v>
      </c>
      <c r="C133" s="1">
        <f t="shared" si="2"/>
        <v>5.6444176196771313E-3</v>
      </c>
      <c r="D133" s="1">
        <f t="shared" si="3"/>
        <v>0.48713933174105223</v>
      </c>
    </row>
    <row r="134" spans="1:4" x14ac:dyDescent="0.2">
      <c r="A134" s="4">
        <v>38532</v>
      </c>
      <c r="B134" s="5">
        <v>36.369999999999997</v>
      </c>
      <c r="C134" s="1">
        <f t="shared" si="2"/>
        <v>-2.5517128234168903E-2</v>
      </c>
      <c r="D134" s="1">
        <f t="shared" si="3"/>
        <v>0.47982884170045426</v>
      </c>
    </row>
    <row r="135" spans="1:4" x14ac:dyDescent="0.2">
      <c r="A135" s="4">
        <v>38533</v>
      </c>
      <c r="B135" s="5">
        <v>36.81</v>
      </c>
      <c r="C135" s="1">
        <f t="shared" si="2"/>
        <v>1.2025288392032273E-2</v>
      </c>
      <c r="D135" s="1">
        <f t="shared" si="3"/>
        <v>0.46589783690314368</v>
      </c>
    </row>
    <row r="136" spans="1:4" x14ac:dyDescent="0.2">
      <c r="A136" s="4">
        <v>38534</v>
      </c>
      <c r="B136" s="5">
        <v>36.5</v>
      </c>
      <c r="C136" s="1">
        <f t="shared" si="2"/>
        <v>-8.4572868024839608E-3</v>
      </c>
      <c r="D136" s="1">
        <f t="shared" si="3"/>
        <v>0.44944753584615721</v>
      </c>
    </row>
    <row r="137" spans="1:4" x14ac:dyDescent="0.2">
      <c r="A137" s="4">
        <v>38538</v>
      </c>
      <c r="B137" s="5">
        <v>37.979999999999997</v>
      </c>
      <c r="C137" s="1">
        <f t="shared" si="2"/>
        <v>3.9747444795693886E-2</v>
      </c>
      <c r="D137" s="1">
        <f t="shared" si="3"/>
        <v>0.44409131332427382</v>
      </c>
    </row>
    <row r="138" spans="1:4" x14ac:dyDescent="0.2">
      <c r="A138" s="4">
        <v>38539</v>
      </c>
      <c r="B138" s="5">
        <v>37.39</v>
      </c>
      <c r="C138" s="1">
        <f t="shared" si="2"/>
        <v>-1.56564163951174E-2</v>
      </c>
      <c r="D138" s="1">
        <f t="shared" si="3"/>
        <v>0.43275545323140036</v>
      </c>
    </row>
    <row r="139" spans="1:4" x14ac:dyDescent="0.2">
      <c r="A139" s="4">
        <v>38540</v>
      </c>
      <c r="B139" s="5">
        <v>37.630000000000003</v>
      </c>
      <c r="C139" s="1">
        <f t="shared" si="2"/>
        <v>6.3983156163235988E-3</v>
      </c>
      <c r="D139" s="1">
        <f t="shared" si="3"/>
        <v>0.42883556001202666</v>
      </c>
    </row>
    <row r="140" spans="1:4" x14ac:dyDescent="0.2">
      <c r="A140" s="4">
        <v>38541</v>
      </c>
      <c r="B140" s="5">
        <v>38.25</v>
      </c>
      <c r="C140" s="1">
        <f t="shared" ref="C140:C203" si="4">LN(B140/B139)</f>
        <v>1.6341955667198836E-2</v>
      </c>
      <c r="D140" s="1">
        <f t="shared" si="3"/>
        <v>0.4303642004554486</v>
      </c>
    </row>
    <row r="141" spans="1:4" x14ac:dyDescent="0.2">
      <c r="A141" s="4">
        <v>38544</v>
      </c>
      <c r="B141" s="5">
        <v>38.1</v>
      </c>
      <c r="C141" s="1">
        <f t="shared" si="4"/>
        <v>-3.9292781398895501E-3</v>
      </c>
      <c r="D141" s="1">
        <f t="shared" si="3"/>
        <v>0.42918585693813199</v>
      </c>
    </row>
    <row r="142" spans="1:4" x14ac:dyDescent="0.2">
      <c r="A142" s="4">
        <v>38545</v>
      </c>
      <c r="B142" s="5">
        <v>38.24</v>
      </c>
      <c r="C142" s="1">
        <f t="shared" si="4"/>
        <v>3.6678060505453531E-3</v>
      </c>
      <c r="D142" s="1">
        <f t="shared" si="3"/>
        <v>0.42771079969563175</v>
      </c>
    </row>
    <row r="143" spans="1:4" x14ac:dyDescent="0.2">
      <c r="A143" s="4">
        <v>38546</v>
      </c>
      <c r="B143" s="5">
        <v>38.35</v>
      </c>
      <c r="C143" s="1">
        <f t="shared" si="4"/>
        <v>2.872439630064626E-3</v>
      </c>
      <c r="D143" s="1">
        <f t="shared" si="3"/>
        <v>0.42701522969700734</v>
      </c>
    </row>
    <row r="144" spans="1:4" x14ac:dyDescent="0.2">
      <c r="A144" s="4">
        <v>38547</v>
      </c>
      <c r="B144" s="5">
        <v>40.75</v>
      </c>
      <c r="C144" s="1">
        <f t="shared" si="4"/>
        <v>6.0701311873606459E-2</v>
      </c>
      <c r="D144" s="1">
        <f t="shared" si="3"/>
        <v>0.45588371205478062</v>
      </c>
    </row>
    <row r="145" spans="1:4" x14ac:dyDescent="0.2">
      <c r="A145" s="4">
        <v>38548</v>
      </c>
      <c r="B145" s="5">
        <v>41.55</v>
      </c>
      <c r="C145" s="1">
        <f t="shared" si="4"/>
        <v>1.9441681614585371E-2</v>
      </c>
      <c r="D145" s="1">
        <f t="shared" si="3"/>
        <v>0.45383360311553156</v>
      </c>
    </row>
    <row r="146" spans="1:4" x14ac:dyDescent="0.2">
      <c r="A146" s="4">
        <v>38551</v>
      </c>
      <c r="B146" s="5">
        <v>41.49</v>
      </c>
      <c r="C146" s="1">
        <f t="shared" si="4"/>
        <v>-1.4450869566805741E-3</v>
      </c>
      <c r="D146" s="1">
        <f t="shared" si="3"/>
        <v>0.45208134441408859</v>
      </c>
    </row>
    <row r="147" spans="1:4" x14ac:dyDescent="0.2">
      <c r="A147" s="4">
        <v>38552</v>
      </c>
      <c r="B147" s="5">
        <v>43.19</v>
      </c>
      <c r="C147" s="1">
        <f t="shared" si="4"/>
        <v>4.0156552627833041E-2</v>
      </c>
      <c r="D147" s="1">
        <f t="shared" si="3"/>
        <v>0.46224244458369707</v>
      </c>
    </row>
    <row r="148" spans="1:4" x14ac:dyDescent="0.2">
      <c r="A148" s="4">
        <v>38553</v>
      </c>
      <c r="B148" s="5">
        <v>43.63</v>
      </c>
      <c r="C148" s="1">
        <f t="shared" si="4"/>
        <v>1.0136000162908569E-2</v>
      </c>
      <c r="D148" s="1">
        <f t="shared" si="3"/>
        <v>0.46176265117682719</v>
      </c>
    </row>
    <row r="149" spans="1:4" x14ac:dyDescent="0.2">
      <c r="A149" s="4">
        <v>38554</v>
      </c>
      <c r="B149" s="5">
        <v>43.29</v>
      </c>
      <c r="C149" s="1">
        <f t="shared" si="4"/>
        <v>-7.8233256816290665E-3</v>
      </c>
      <c r="D149" s="1">
        <f t="shared" si="3"/>
        <v>0.46004986248403584</v>
      </c>
    </row>
    <row r="150" spans="1:4" x14ac:dyDescent="0.2">
      <c r="A150" s="4">
        <v>38555</v>
      </c>
      <c r="B150" s="5">
        <v>44</v>
      </c>
      <c r="C150" s="1">
        <f t="shared" si="4"/>
        <v>1.6267972464371998E-2</v>
      </c>
      <c r="D150" s="1">
        <f t="shared" si="3"/>
        <v>0.45566382594445493</v>
      </c>
    </row>
    <row r="151" spans="1:4" x14ac:dyDescent="0.2">
      <c r="A151" s="4">
        <v>38558</v>
      </c>
      <c r="B151" s="5">
        <v>43.81</v>
      </c>
      <c r="C151" s="1">
        <f t="shared" si="4"/>
        <v>-4.3275320924540282E-3</v>
      </c>
      <c r="D151" s="1">
        <f t="shared" si="3"/>
        <v>0.43786582755712328</v>
      </c>
    </row>
    <row r="152" spans="1:4" x14ac:dyDescent="0.2">
      <c r="A152" s="4">
        <v>38559</v>
      </c>
      <c r="B152" s="5">
        <v>43.63</v>
      </c>
      <c r="C152" s="1">
        <f t="shared" si="4"/>
        <v>-4.117114690288878E-3</v>
      </c>
      <c r="D152" s="1">
        <f t="shared" si="3"/>
        <v>0.43691354434282104</v>
      </c>
    </row>
    <row r="153" spans="1:4" x14ac:dyDescent="0.2">
      <c r="A153" s="4">
        <v>38560</v>
      </c>
      <c r="B153" s="5">
        <v>43.99</v>
      </c>
      <c r="C153" s="1">
        <f t="shared" si="4"/>
        <v>8.2173482251101781E-3</v>
      </c>
      <c r="D153" s="1">
        <f t="shared" si="3"/>
        <v>0.43433374721653223</v>
      </c>
    </row>
    <row r="154" spans="1:4" x14ac:dyDescent="0.2">
      <c r="A154" s="4">
        <v>38561</v>
      </c>
      <c r="B154" s="5">
        <v>43.8</v>
      </c>
      <c r="C154" s="1">
        <f t="shared" si="4"/>
        <v>-4.3285179782280017E-3</v>
      </c>
      <c r="D154" s="1">
        <f t="shared" si="3"/>
        <v>0.43417264888563373</v>
      </c>
    </row>
    <row r="155" spans="1:4" x14ac:dyDescent="0.2">
      <c r="A155" s="4">
        <v>38562</v>
      </c>
      <c r="B155" s="5">
        <v>42.65</v>
      </c>
      <c r="C155" s="1">
        <f t="shared" si="4"/>
        <v>-2.6606543444712277E-2</v>
      </c>
      <c r="D155" s="1">
        <f t="shared" si="3"/>
        <v>0.44129616259967563</v>
      </c>
    </row>
    <row r="156" spans="1:4" x14ac:dyDescent="0.2">
      <c r="A156" s="4">
        <v>38565</v>
      </c>
      <c r="B156" s="5">
        <v>42.75</v>
      </c>
      <c r="C156" s="1">
        <f t="shared" si="4"/>
        <v>2.3419214450811246E-3</v>
      </c>
      <c r="D156" s="1">
        <f t="shared" si="3"/>
        <v>0.42497498033345921</v>
      </c>
    </row>
    <row r="157" spans="1:4" x14ac:dyDescent="0.2">
      <c r="A157" s="4">
        <v>38566</v>
      </c>
      <c r="B157" s="5">
        <v>43.19</v>
      </c>
      <c r="C157" s="1">
        <f t="shared" si="4"/>
        <v>1.0239791589840501E-2</v>
      </c>
      <c r="D157" s="1">
        <f t="shared" si="3"/>
        <v>0.42540975084375127</v>
      </c>
    </row>
    <row r="158" spans="1:4" x14ac:dyDescent="0.2">
      <c r="A158" s="4">
        <v>38567</v>
      </c>
      <c r="B158" s="5">
        <v>43.22</v>
      </c>
      <c r="C158" s="1">
        <f t="shared" si="4"/>
        <v>6.9436410613023605E-4</v>
      </c>
      <c r="D158" s="1">
        <f t="shared" si="3"/>
        <v>0.39811485142872527</v>
      </c>
    </row>
    <row r="159" spans="1:4" x14ac:dyDescent="0.2">
      <c r="A159" s="4">
        <v>38568</v>
      </c>
      <c r="B159" s="5">
        <v>42.71</v>
      </c>
      <c r="C159" s="1">
        <f t="shared" si="4"/>
        <v>-1.1870266225364754E-2</v>
      </c>
      <c r="D159" s="1">
        <f t="shared" si="3"/>
        <v>0.39971191681616036</v>
      </c>
    </row>
    <row r="160" spans="1:4" x14ac:dyDescent="0.2">
      <c r="A160" s="4">
        <v>38569</v>
      </c>
      <c r="B160" s="5">
        <v>42.99</v>
      </c>
      <c r="C160" s="1">
        <f t="shared" si="4"/>
        <v>6.5344456548150761E-3</v>
      </c>
      <c r="D160" s="1">
        <f t="shared" si="3"/>
        <v>0.39994498760904612</v>
      </c>
    </row>
    <row r="161" spans="1:4" x14ac:dyDescent="0.2">
      <c r="A161" s="4">
        <v>38572</v>
      </c>
      <c r="B161" s="5">
        <v>42.65</v>
      </c>
      <c r="C161" s="1">
        <f t="shared" si="4"/>
        <v>-7.9402565705020949E-3</v>
      </c>
      <c r="D161" s="1">
        <f t="shared" si="3"/>
        <v>0.39594736776987399</v>
      </c>
    </row>
    <row r="162" spans="1:4" x14ac:dyDescent="0.2">
      <c r="A162" s="4">
        <v>38573</v>
      </c>
      <c r="B162" s="5">
        <v>43.82</v>
      </c>
      <c r="C162" s="1">
        <f t="shared" si="4"/>
        <v>2.7063060229632365E-2</v>
      </c>
      <c r="D162" s="1">
        <f t="shared" si="3"/>
        <v>0.40187848697597728</v>
      </c>
    </row>
    <row r="163" spans="1:4" x14ac:dyDescent="0.2">
      <c r="A163" s="4">
        <v>38574</v>
      </c>
      <c r="B163" s="5">
        <v>43.38</v>
      </c>
      <c r="C163" s="1">
        <f t="shared" si="4"/>
        <v>-1.0091828768592067E-2</v>
      </c>
      <c r="D163" s="1">
        <f t="shared" si="3"/>
        <v>0.39883337730305923</v>
      </c>
    </row>
    <row r="164" spans="1:4" x14ac:dyDescent="0.2">
      <c r="A164" s="4">
        <v>38575</v>
      </c>
      <c r="B164" s="5">
        <v>44</v>
      </c>
      <c r="C164" s="1">
        <f t="shared" si="4"/>
        <v>1.4191128519532793E-2</v>
      </c>
      <c r="D164" s="1">
        <f t="shared" si="3"/>
        <v>0.39899165501781669</v>
      </c>
    </row>
    <row r="165" spans="1:4" x14ac:dyDescent="0.2">
      <c r="A165" s="4">
        <v>38576</v>
      </c>
      <c r="B165" s="5">
        <v>46.1</v>
      </c>
      <c r="C165" s="1">
        <f t="shared" si="4"/>
        <v>4.6623316084341782E-2</v>
      </c>
      <c r="D165" s="1">
        <f t="shared" si="3"/>
        <v>0.41625081641938921</v>
      </c>
    </row>
    <row r="166" spans="1:4" x14ac:dyDescent="0.2">
      <c r="A166" s="4">
        <v>38579</v>
      </c>
      <c r="B166" s="5">
        <v>47.68</v>
      </c>
      <c r="C166" s="1">
        <f t="shared" si="4"/>
        <v>3.3699072754491369E-2</v>
      </c>
      <c r="D166" s="1">
        <f t="shared" si="3"/>
        <v>0.40208362520339269</v>
      </c>
    </row>
    <row r="167" spans="1:4" x14ac:dyDescent="0.2">
      <c r="A167" s="4">
        <v>38580</v>
      </c>
      <c r="B167" s="5">
        <v>46.25</v>
      </c>
      <c r="C167" s="1">
        <f t="shared" si="4"/>
        <v>-3.0450558798660158E-2</v>
      </c>
      <c r="D167" s="1">
        <f t="shared" si="3"/>
        <v>0.41161768232242524</v>
      </c>
    </row>
    <row r="168" spans="1:4" x14ac:dyDescent="0.2">
      <c r="A168" s="4">
        <v>38581</v>
      </c>
      <c r="B168" s="5">
        <v>47.15</v>
      </c>
      <c r="C168" s="1">
        <f t="shared" si="4"/>
        <v>1.9272545121032325E-2</v>
      </c>
      <c r="D168" s="1">
        <f t="shared" si="3"/>
        <v>0.39768356565137836</v>
      </c>
    </row>
    <row r="169" spans="1:4" x14ac:dyDescent="0.2">
      <c r="A169" s="4">
        <v>38582</v>
      </c>
      <c r="B169" s="5">
        <v>46.3</v>
      </c>
      <c r="C169" s="1">
        <f t="shared" si="4"/>
        <v>-1.8192047987278113E-2</v>
      </c>
      <c r="D169" s="1">
        <f t="shared" si="3"/>
        <v>0.40232634791916067</v>
      </c>
    </row>
    <row r="170" spans="1:4" x14ac:dyDescent="0.2">
      <c r="A170" s="4">
        <v>38583</v>
      </c>
      <c r="B170" s="5">
        <v>45.83</v>
      </c>
      <c r="C170" s="1">
        <f t="shared" si="4"/>
        <v>-1.0203062571155705E-2</v>
      </c>
      <c r="D170" s="1">
        <f t="shared" si="3"/>
        <v>0.402073555753928</v>
      </c>
    </row>
    <row r="171" spans="1:4" x14ac:dyDescent="0.2">
      <c r="A171" s="4">
        <v>38586</v>
      </c>
      <c r="B171" s="5">
        <v>45.87</v>
      </c>
      <c r="C171" s="1">
        <f t="shared" si="4"/>
        <v>8.724100880479306E-4</v>
      </c>
      <c r="D171" s="1">
        <f t="shared" si="3"/>
        <v>0.37362280339037707</v>
      </c>
    </row>
    <row r="172" spans="1:4" x14ac:dyDescent="0.2">
      <c r="A172" s="4">
        <v>38587</v>
      </c>
      <c r="B172" s="5">
        <v>45.74</v>
      </c>
      <c r="C172" s="1">
        <f t="shared" si="4"/>
        <v>-2.8381200144454452E-3</v>
      </c>
      <c r="D172" s="1">
        <f t="shared" si="3"/>
        <v>0.37416218969206338</v>
      </c>
    </row>
    <row r="173" spans="1:4" x14ac:dyDescent="0.2">
      <c r="A173" s="4">
        <v>38588</v>
      </c>
      <c r="B173" s="5">
        <v>45.77</v>
      </c>
      <c r="C173" s="1">
        <f t="shared" si="4"/>
        <v>6.5566607091572322E-4</v>
      </c>
      <c r="D173" s="1">
        <f t="shared" si="3"/>
        <v>0.37429357696869503</v>
      </c>
    </row>
    <row r="174" spans="1:4" x14ac:dyDescent="0.2">
      <c r="A174" s="4">
        <v>38589</v>
      </c>
      <c r="B174" s="5">
        <v>46.06</v>
      </c>
      <c r="C174" s="1">
        <f t="shared" si="4"/>
        <v>6.3160397269884719E-3</v>
      </c>
      <c r="D174" s="1">
        <f t="shared" si="3"/>
        <v>0.36735097851273163</v>
      </c>
    </row>
    <row r="175" spans="1:4" x14ac:dyDescent="0.2">
      <c r="A175" s="4">
        <v>38590</v>
      </c>
      <c r="B175" s="5">
        <v>45.74</v>
      </c>
      <c r="C175" s="1">
        <f t="shared" si="4"/>
        <v>-6.9717057979040101E-3</v>
      </c>
      <c r="D175" s="1">
        <f t="shared" si="3"/>
        <v>0.36505226711355826</v>
      </c>
    </row>
    <row r="176" spans="1:4" x14ac:dyDescent="0.2">
      <c r="A176" s="4">
        <v>38593</v>
      </c>
      <c r="B176" s="5">
        <v>45.84</v>
      </c>
      <c r="C176" s="1">
        <f t="shared" si="4"/>
        <v>2.1838838118490344E-3</v>
      </c>
      <c r="D176" s="1">
        <f t="shared" si="3"/>
        <v>0.36481940449180456</v>
      </c>
    </row>
    <row r="177" spans="1:4" x14ac:dyDescent="0.2">
      <c r="A177" s="4">
        <v>38594</v>
      </c>
      <c r="B177" s="5">
        <v>46.57</v>
      </c>
      <c r="C177" s="1">
        <f t="shared" si="4"/>
        <v>1.5799484587801543E-2</v>
      </c>
      <c r="D177" s="1">
        <f t="shared" si="3"/>
        <v>0.36112884682814905</v>
      </c>
    </row>
    <row r="178" spans="1:4" x14ac:dyDescent="0.2">
      <c r="A178" s="4">
        <v>38595</v>
      </c>
      <c r="B178" s="5">
        <v>46.89</v>
      </c>
      <c r="C178" s="1">
        <f t="shared" si="4"/>
        <v>6.8478761072090551E-3</v>
      </c>
      <c r="D178" s="1">
        <f t="shared" si="3"/>
        <v>0.36114014969252356</v>
      </c>
    </row>
    <row r="179" spans="1:4" x14ac:dyDescent="0.2">
      <c r="A179" s="4">
        <v>38596</v>
      </c>
      <c r="B179" s="5">
        <v>46.26</v>
      </c>
      <c r="C179" s="1">
        <f t="shared" si="4"/>
        <v>-1.3526776298201851E-2</v>
      </c>
      <c r="D179" s="1">
        <f t="shared" si="3"/>
        <v>0.36224296496187425</v>
      </c>
    </row>
    <row r="180" spans="1:4" x14ac:dyDescent="0.2">
      <c r="A180" s="4">
        <v>38597</v>
      </c>
      <c r="B180" s="5">
        <v>46.22</v>
      </c>
      <c r="C180" s="1">
        <f t="shared" si="4"/>
        <v>-8.650519570584513E-4</v>
      </c>
      <c r="D180" s="1">
        <f t="shared" si="3"/>
        <v>0.3621620205177527</v>
      </c>
    </row>
    <row r="181" spans="1:4" x14ac:dyDescent="0.2">
      <c r="A181" s="4">
        <v>38601</v>
      </c>
      <c r="B181" s="5">
        <v>48.8</v>
      </c>
      <c r="C181" s="1">
        <f t="shared" si="4"/>
        <v>5.4317708012866832E-2</v>
      </c>
      <c r="D181" s="1">
        <f t="shared" si="3"/>
        <v>0.37590443674059121</v>
      </c>
    </row>
    <row r="182" spans="1:4" x14ac:dyDescent="0.2">
      <c r="A182" s="4">
        <v>38602</v>
      </c>
      <c r="B182" s="5">
        <v>48.68</v>
      </c>
      <c r="C182" s="1">
        <f t="shared" si="4"/>
        <v>-2.4620447397750386E-3</v>
      </c>
      <c r="D182" s="1">
        <f t="shared" si="3"/>
        <v>0.37126735989360704</v>
      </c>
    </row>
    <row r="183" spans="1:4" x14ac:dyDescent="0.2">
      <c r="A183" s="4">
        <v>38603</v>
      </c>
      <c r="B183" s="5">
        <v>49.78</v>
      </c>
      <c r="C183" s="1">
        <f t="shared" si="4"/>
        <v>2.234502882011959E-2</v>
      </c>
      <c r="D183" s="1">
        <f t="shared" si="3"/>
        <v>0.37406963770457391</v>
      </c>
    </row>
    <row r="184" spans="1:4" x14ac:dyDescent="0.2">
      <c r="A184" s="4">
        <v>38604</v>
      </c>
      <c r="B184" s="5">
        <v>51.31</v>
      </c>
      <c r="C184" s="1">
        <f t="shared" si="4"/>
        <v>3.0272368014427543E-2</v>
      </c>
      <c r="D184" s="1">
        <f t="shared" si="3"/>
        <v>0.36965833665692227</v>
      </c>
    </row>
    <row r="185" spans="1:4" x14ac:dyDescent="0.2">
      <c r="A185" s="4">
        <v>38607</v>
      </c>
      <c r="B185" s="5">
        <v>51.4</v>
      </c>
      <c r="C185" s="1">
        <f t="shared" si="4"/>
        <v>1.7525075072459464E-3</v>
      </c>
      <c r="D185" s="1">
        <f t="shared" si="3"/>
        <v>0.3696358141355725</v>
      </c>
    </row>
    <row r="186" spans="1:4" x14ac:dyDescent="0.2">
      <c r="A186" s="4">
        <v>38608</v>
      </c>
      <c r="B186" s="5">
        <v>50.82</v>
      </c>
      <c r="C186" s="1">
        <f t="shared" si="4"/>
        <v>-1.1348194569101357E-2</v>
      </c>
      <c r="D186" s="1">
        <f t="shared" si="3"/>
        <v>0.37059880289854508</v>
      </c>
    </row>
    <row r="187" spans="1:4" x14ac:dyDescent="0.2">
      <c r="A187" s="4">
        <v>38609</v>
      </c>
      <c r="B187" s="5">
        <v>49.61</v>
      </c>
      <c r="C187" s="1">
        <f t="shared" si="4"/>
        <v>-2.409755157906053E-2</v>
      </c>
      <c r="D187" s="1">
        <f t="shared" si="3"/>
        <v>0.36822504458747596</v>
      </c>
    </row>
    <row r="188" spans="1:4" x14ac:dyDescent="0.2">
      <c r="A188" s="4">
        <v>38610</v>
      </c>
      <c r="B188" s="5">
        <v>49.87</v>
      </c>
      <c r="C188" s="1">
        <f t="shared" si="4"/>
        <v>5.2271932450736313E-3</v>
      </c>
      <c r="D188" s="1">
        <f t="shared" si="3"/>
        <v>0.36364831872973991</v>
      </c>
    </row>
    <row r="189" spans="1:4" x14ac:dyDescent="0.2">
      <c r="A189" s="4">
        <v>38611</v>
      </c>
      <c r="B189" s="5">
        <v>51.21</v>
      </c>
      <c r="C189" s="1">
        <f t="shared" si="4"/>
        <v>2.6515205916427795E-2</v>
      </c>
      <c r="D189" s="1">
        <f t="shared" ref="D189:D252" si="5">STDEV(C140:C189)*SQRT($B$2)</f>
        <v>0.36794773694008337</v>
      </c>
    </row>
    <row r="190" spans="1:4" x14ac:dyDescent="0.2">
      <c r="A190" s="4">
        <v>38614</v>
      </c>
      <c r="B190" s="5">
        <v>52.64</v>
      </c>
      <c r="C190" s="1">
        <f t="shared" si="4"/>
        <v>2.754146154260281E-2</v>
      </c>
      <c r="D190" s="1">
        <f t="shared" si="5"/>
        <v>0.37148294825171785</v>
      </c>
    </row>
    <row r="191" spans="1:4" x14ac:dyDescent="0.2">
      <c r="A191" s="4">
        <v>38615</v>
      </c>
      <c r="B191" s="5">
        <v>53.19</v>
      </c>
      <c r="C191" s="1">
        <f t="shared" si="4"/>
        <v>1.0394121737164461E-2</v>
      </c>
      <c r="D191" s="1">
        <f t="shared" si="5"/>
        <v>0.37053466275843655</v>
      </c>
    </row>
    <row r="192" spans="1:4" x14ac:dyDescent="0.2">
      <c r="A192" s="4">
        <v>38616</v>
      </c>
      <c r="B192" s="5">
        <v>52.11</v>
      </c>
      <c r="C192" s="1">
        <f t="shared" si="4"/>
        <v>-2.0513539833102903E-2</v>
      </c>
      <c r="D192" s="1">
        <f t="shared" si="5"/>
        <v>0.37768663381467699</v>
      </c>
    </row>
    <row r="193" spans="1:4" x14ac:dyDescent="0.2">
      <c r="A193" s="4">
        <v>38617</v>
      </c>
      <c r="B193" s="5">
        <v>51.9</v>
      </c>
      <c r="C193" s="1">
        <f t="shared" si="4"/>
        <v>-4.0380787492802685E-3</v>
      </c>
      <c r="D193" s="1">
        <f t="shared" si="5"/>
        <v>0.37859913681657081</v>
      </c>
    </row>
    <row r="194" spans="1:4" x14ac:dyDescent="0.2">
      <c r="A194" s="4">
        <v>38618</v>
      </c>
      <c r="B194" s="5">
        <v>53.2</v>
      </c>
      <c r="C194" s="1">
        <f t="shared" si="4"/>
        <v>2.4739606175755751E-2</v>
      </c>
      <c r="D194" s="1">
        <f t="shared" si="5"/>
        <v>0.35142411507999921</v>
      </c>
    </row>
    <row r="195" spans="1:4" x14ac:dyDescent="0.2">
      <c r="A195" s="4">
        <v>38621</v>
      </c>
      <c r="B195" s="5">
        <v>53.84</v>
      </c>
      <c r="C195" s="1">
        <f t="shared" si="4"/>
        <v>1.1958288988873576E-2</v>
      </c>
      <c r="D195" s="1">
        <f t="shared" si="5"/>
        <v>0.34976373864539451</v>
      </c>
    </row>
    <row r="196" spans="1:4" x14ac:dyDescent="0.2">
      <c r="A196" s="4">
        <v>38622</v>
      </c>
      <c r="B196" s="5">
        <v>53.44</v>
      </c>
      <c r="C196" s="1">
        <f t="shared" si="4"/>
        <v>-7.4571561080821634E-3</v>
      </c>
      <c r="D196" s="1">
        <f t="shared" si="5"/>
        <v>0.35098737518012324</v>
      </c>
    </row>
    <row r="197" spans="1:4" x14ac:dyDescent="0.2">
      <c r="A197" s="4">
        <v>38623</v>
      </c>
      <c r="B197" s="5">
        <v>51.08</v>
      </c>
      <c r="C197" s="1">
        <f t="shared" si="4"/>
        <v>-4.5166498064051715E-2</v>
      </c>
      <c r="D197" s="1">
        <f t="shared" si="5"/>
        <v>0.36294134465650574</v>
      </c>
    </row>
    <row r="198" spans="1:4" x14ac:dyDescent="0.2">
      <c r="A198" s="4">
        <v>38624</v>
      </c>
      <c r="B198" s="5">
        <v>52.34</v>
      </c>
      <c r="C198" s="1">
        <f t="shared" si="4"/>
        <v>2.4367865937661371E-2</v>
      </c>
      <c r="D198" s="1">
        <f t="shared" si="5"/>
        <v>0.36693678992879508</v>
      </c>
    </row>
    <row r="199" spans="1:4" x14ac:dyDescent="0.2">
      <c r="A199" s="4">
        <v>38625</v>
      </c>
      <c r="B199" s="5">
        <v>53.61</v>
      </c>
      <c r="C199" s="1">
        <f t="shared" si="4"/>
        <v>2.3974720737446463E-2</v>
      </c>
      <c r="D199" s="1">
        <f t="shared" si="5"/>
        <v>0.36958507368141152</v>
      </c>
    </row>
    <row r="200" spans="1:4" x14ac:dyDescent="0.2">
      <c r="A200" s="4">
        <v>38628</v>
      </c>
      <c r="B200" s="5">
        <v>54.44</v>
      </c>
      <c r="C200" s="1">
        <f t="shared" si="4"/>
        <v>1.5363559943818959E-2</v>
      </c>
      <c r="D200" s="1">
        <f t="shared" si="5"/>
        <v>0.36937450226580204</v>
      </c>
    </row>
    <row r="201" spans="1:4" x14ac:dyDescent="0.2">
      <c r="A201" s="4">
        <v>38629</v>
      </c>
      <c r="B201" s="5">
        <v>53.75</v>
      </c>
      <c r="C201" s="1">
        <f t="shared" si="4"/>
        <v>-1.2755510775493155E-2</v>
      </c>
      <c r="D201" s="1">
        <f t="shared" si="5"/>
        <v>0.37152936437611644</v>
      </c>
    </row>
    <row r="202" spans="1:4" x14ac:dyDescent="0.2">
      <c r="A202" s="4">
        <v>38630</v>
      </c>
      <c r="B202" s="5">
        <v>52.78</v>
      </c>
      <c r="C202" s="1">
        <f t="shared" si="4"/>
        <v>-1.8211335932594129E-2</v>
      </c>
      <c r="D202" s="1">
        <f t="shared" si="5"/>
        <v>0.3757757373784481</v>
      </c>
    </row>
    <row r="203" spans="1:4" x14ac:dyDescent="0.2">
      <c r="A203" s="4">
        <v>38631</v>
      </c>
      <c r="B203" s="5">
        <v>51.7</v>
      </c>
      <c r="C203" s="1">
        <f t="shared" si="4"/>
        <v>-2.0674549560794519E-2</v>
      </c>
      <c r="D203" s="1">
        <f t="shared" si="5"/>
        <v>0.38131744458051198</v>
      </c>
    </row>
    <row r="204" spans="1:4" x14ac:dyDescent="0.2">
      <c r="A204" s="4">
        <v>38632</v>
      </c>
      <c r="B204" s="5">
        <v>51.3</v>
      </c>
      <c r="C204" s="1">
        <f t="shared" ref="C204:C267" si="6">LN(B204/B203)</f>
        <v>-7.7670293376596589E-3</v>
      </c>
      <c r="D204" s="1">
        <f t="shared" si="5"/>
        <v>0.3819378196899903</v>
      </c>
    </row>
    <row r="205" spans="1:4" x14ac:dyDescent="0.2">
      <c r="A205" s="4">
        <v>38635</v>
      </c>
      <c r="B205" s="5">
        <v>50.37</v>
      </c>
      <c r="C205" s="1">
        <f t="shared" si="6"/>
        <v>-1.8294992419164689E-2</v>
      </c>
      <c r="D205" s="1">
        <f t="shared" si="5"/>
        <v>0.37774966339123234</v>
      </c>
    </row>
    <row r="206" spans="1:4" x14ac:dyDescent="0.2">
      <c r="A206" s="4">
        <v>38636</v>
      </c>
      <c r="B206" s="5">
        <v>51.59</v>
      </c>
      <c r="C206" s="1">
        <f t="shared" si="6"/>
        <v>2.3932095498999467E-2</v>
      </c>
      <c r="D206" s="1">
        <f t="shared" si="5"/>
        <v>0.38181229578359172</v>
      </c>
    </row>
    <row r="207" spans="1:4" x14ac:dyDescent="0.2">
      <c r="A207" s="4">
        <v>38637</v>
      </c>
      <c r="B207" s="5">
        <v>49.25</v>
      </c>
      <c r="C207" s="1">
        <f t="shared" si="6"/>
        <v>-4.6418487638460716E-2</v>
      </c>
      <c r="D207" s="1">
        <f t="shared" si="5"/>
        <v>0.40465362811809807</v>
      </c>
    </row>
    <row r="208" spans="1:4" x14ac:dyDescent="0.2">
      <c r="A208" s="4">
        <v>38638</v>
      </c>
      <c r="B208" s="5">
        <v>53.74</v>
      </c>
      <c r="C208" s="1">
        <f t="shared" si="6"/>
        <v>8.7248235569247226E-2</v>
      </c>
      <c r="D208" s="1">
        <f t="shared" si="5"/>
        <v>0.46469584803124309</v>
      </c>
    </row>
    <row r="209" spans="1:4" x14ac:dyDescent="0.2">
      <c r="A209" s="4">
        <v>38639</v>
      </c>
      <c r="B209" s="5">
        <v>54</v>
      </c>
      <c r="C209" s="1">
        <f t="shared" si="6"/>
        <v>4.8264433769292523E-3</v>
      </c>
      <c r="D209" s="1">
        <f t="shared" si="5"/>
        <v>0.46253737438032483</v>
      </c>
    </row>
    <row r="210" spans="1:4" x14ac:dyDescent="0.2">
      <c r="A210" s="4">
        <v>38642</v>
      </c>
      <c r="B210" s="5">
        <v>53.44</v>
      </c>
      <c r="C210" s="1">
        <f t="shared" si="6"/>
        <v>-1.0424517335884091E-2</v>
      </c>
      <c r="D210" s="1">
        <f t="shared" si="5"/>
        <v>0.46430011916972952</v>
      </c>
    </row>
    <row r="211" spans="1:4" x14ac:dyDescent="0.2">
      <c r="A211" s="4">
        <v>38643</v>
      </c>
      <c r="B211" s="5">
        <v>52.21</v>
      </c>
      <c r="C211" s="1">
        <f t="shared" si="6"/>
        <v>-2.3285481805929265E-2</v>
      </c>
      <c r="D211" s="1">
        <f t="shared" si="5"/>
        <v>0.46915211009698515</v>
      </c>
    </row>
    <row r="212" spans="1:4" x14ac:dyDescent="0.2">
      <c r="A212" s="4">
        <v>38644</v>
      </c>
      <c r="B212" s="5">
        <v>54.94</v>
      </c>
      <c r="C212" s="1">
        <f t="shared" si="6"/>
        <v>5.0967633244666848E-2</v>
      </c>
      <c r="D212" s="1">
        <f t="shared" si="5"/>
        <v>0.48215408444695129</v>
      </c>
    </row>
    <row r="213" spans="1:4" x14ac:dyDescent="0.2">
      <c r="A213" s="4">
        <v>38645</v>
      </c>
      <c r="B213" s="5">
        <v>56.14</v>
      </c>
      <c r="C213" s="1">
        <f t="shared" si="6"/>
        <v>2.1606890266608662E-2</v>
      </c>
      <c r="D213" s="1">
        <f t="shared" si="5"/>
        <v>0.48260320648615262</v>
      </c>
    </row>
    <row r="214" spans="1:4" x14ac:dyDescent="0.2">
      <c r="A214" s="4">
        <v>38646</v>
      </c>
      <c r="B214" s="5">
        <v>55.66</v>
      </c>
      <c r="C214" s="1">
        <f t="shared" si="6"/>
        <v>-8.5868148359918312E-3</v>
      </c>
      <c r="D214" s="1">
        <f t="shared" si="5"/>
        <v>0.48335045621109601</v>
      </c>
    </row>
    <row r="215" spans="1:4" x14ac:dyDescent="0.2">
      <c r="A215" s="4">
        <v>38649</v>
      </c>
      <c r="B215" s="5">
        <v>56.79</v>
      </c>
      <c r="C215" s="1">
        <f t="shared" si="6"/>
        <v>2.0098497791596476E-2</v>
      </c>
      <c r="D215" s="1">
        <f t="shared" si="5"/>
        <v>0.47137841522066615</v>
      </c>
    </row>
    <row r="216" spans="1:4" x14ac:dyDescent="0.2">
      <c r="A216" s="4">
        <v>38650</v>
      </c>
      <c r="B216" s="5">
        <v>56.1</v>
      </c>
      <c r="C216" s="1">
        <f t="shared" si="6"/>
        <v>-1.2224441360690452E-2</v>
      </c>
      <c r="D216" s="1">
        <f t="shared" si="5"/>
        <v>0.46625199832400682</v>
      </c>
    </row>
    <row r="217" spans="1:4" x14ac:dyDescent="0.2">
      <c r="A217" s="4">
        <v>38651</v>
      </c>
      <c r="B217" s="5">
        <v>57.03</v>
      </c>
      <c r="C217" s="1">
        <f t="shared" si="6"/>
        <v>1.6441632639796873E-2</v>
      </c>
      <c r="D217" s="1">
        <f t="shared" si="5"/>
        <v>0.45814611374318231</v>
      </c>
    </row>
    <row r="218" spans="1:4" x14ac:dyDescent="0.2">
      <c r="A218" s="4">
        <v>38652</v>
      </c>
      <c r="B218" s="5">
        <v>55.41</v>
      </c>
      <c r="C218" s="1">
        <f t="shared" si="6"/>
        <v>-2.8817362289189307E-2</v>
      </c>
      <c r="D218" s="1">
        <f t="shared" si="5"/>
        <v>0.46473067010564684</v>
      </c>
    </row>
    <row r="219" spans="1:4" x14ac:dyDescent="0.2">
      <c r="A219" s="4">
        <v>38653</v>
      </c>
      <c r="B219" s="5">
        <v>54.47</v>
      </c>
      <c r="C219" s="1">
        <f t="shared" si="6"/>
        <v>-1.710999148367516E-2</v>
      </c>
      <c r="D219" s="1">
        <f t="shared" si="5"/>
        <v>0.46436820955618929</v>
      </c>
    </row>
    <row r="220" spans="1:4" x14ac:dyDescent="0.2">
      <c r="A220" s="4">
        <v>38656</v>
      </c>
      <c r="B220" s="5">
        <v>57.59</v>
      </c>
      <c r="C220" s="1">
        <f t="shared" si="6"/>
        <v>5.5698850122997981E-2</v>
      </c>
      <c r="D220" s="1">
        <f t="shared" si="5"/>
        <v>0.4838736994170571</v>
      </c>
    </row>
    <row r="221" spans="1:4" x14ac:dyDescent="0.2">
      <c r="A221" s="4">
        <v>38657</v>
      </c>
      <c r="B221" s="5">
        <v>57.5</v>
      </c>
      <c r="C221" s="1">
        <f t="shared" si="6"/>
        <v>-1.5639937152762953E-3</v>
      </c>
      <c r="D221" s="1">
        <f t="shared" si="5"/>
        <v>0.48405706069756482</v>
      </c>
    </row>
    <row r="222" spans="1:4" x14ac:dyDescent="0.2">
      <c r="A222" s="4">
        <v>38658</v>
      </c>
      <c r="B222" s="5">
        <v>59.95</v>
      </c>
      <c r="C222" s="1">
        <f t="shared" si="6"/>
        <v>4.1725933670218644E-2</v>
      </c>
      <c r="D222" s="1">
        <f t="shared" si="5"/>
        <v>0.49388652927737298</v>
      </c>
    </row>
    <row r="223" spans="1:4" x14ac:dyDescent="0.2">
      <c r="A223" s="4">
        <v>38659</v>
      </c>
      <c r="B223" s="5">
        <v>61.85</v>
      </c>
      <c r="C223" s="1">
        <f t="shared" si="6"/>
        <v>3.1201217364973589E-2</v>
      </c>
      <c r="D223" s="1">
        <f t="shared" si="5"/>
        <v>0.49856909989606146</v>
      </c>
    </row>
    <row r="224" spans="1:4" x14ac:dyDescent="0.2">
      <c r="A224" s="4">
        <v>38660</v>
      </c>
      <c r="B224" s="5">
        <v>61.15</v>
      </c>
      <c r="C224" s="1">
        <f t="shared" si="6"/>
        <v>-1.138223670531564E-2</v>
      </c>
      <c r="D224" s="1">
        <f t="shared" si="5"/>
        <v>0.50077949409235878</v>
      </c>
    </row>
    <row r="225" spans="1:4" x14ac:dyDescent="0.2">
      <c r="A225" s="4">
        <v>38663</v>
      </c>
      <c r="B225" s="5">
        <v>60.23</v>
      </c>
      <c r="C225" s="1">
        <f t="shared" si="6"/>
        <v>-1.5159295077551645E-2</v>
      </c>
      <c r="D225" s="1">
        <f t="shared" si="5"/>
        <v>0.50280334432661877</v>
      </c>
    </row>
    <row r="226" spans="1:4" x14ac:dyDescent="0.2">
      <c r="A226" s="4">
        <v>38664</v>
      </c>
      <c r="B226" s="5">
        <v>59.9</v>
      </c>
      <c r="C226" s="1">
        <f t="shared" si="6"/>
        <v>-5.4940619342259715E-3</v>
      </c>
      <c r="D226" s="1">
        <f t="shared" si="5"/>
        <v>0.50360829239454952</v>
      </c>
    </row>
    <row r="227" spans="1:4" x14ac:dyDescent="0.2">
      <c r="A227" s="4">
        <v>38665</v>
      </c>
      <c r="B227" s="5">
        <v>60.11</v>
      </c>
      <c r="C227" s="1">
        <f t="shared" si="6"/>
        <v>3.4997119296669541E-3</v>
      </c>
      <c r="D227" s="1">
        <f t="shared" si="5"/>
        <v>0.5028031227181603</v>
      </c>
    </row>
    <row r="228" spans="1:4" x14ac:dyDescent="0.2">
      <c r="A228" s="4">
        <v>38666</v>
      </c>
      <c r="B228" s="5">
        <v>61.18</v>
      </c>
      <c r="C228" s="1">
        <f t="shared" si="6"/>
        <v>1.7644121671686712E-2</v>
      </c>
      <c r="D228" s="1">
        <f t="shared" si="5"/>
        <v>0.50392686536949394</v>
      </c>
    </row>
    <row r="229" spans="1:4" x14ac:dyDescent="0.2">
      <c r="A229" s="4">
        <v>38667</v>
      </c>
      <c r="B229" s="5">
        <v>61.54</v>
      </c>
      <c r="C229" s="1">
        <f t="shared" si="6"/>
        <v>5.8670311711382893E-3</v>
      </c>
      <c r="D229" s="1">
        <f t="shared" si="5"/>
        <v>0.50124096379712213</v>
      </c>
    </row>
    <row r="230" spans="1:4" x14ac:dyDescent="0.2">
      <c r="A230" s="4">
        <v>38670</v>
      </c>
      <c r="B230" s="5">
        <v>61.45</v>
      </c>
      <c r="C230" s="1">
        <f t="shared" si="6"/>
        <v>-1.4635338818518424E-3</v>
      </c>
      <c r="D230" s="1">
        <f t="shared" si="5"/>
        <v>0.50130203133148921</v>
      </c>
    </row>
    <row r="231" spans="1:4" x14ac:dyDescent="0.2">
      <c r="A231" s="4">
        <v>38671</v>
      </c>
      <c r="B231" s="5">
        <v>62.28</v>
      </c>
      <c r="C231" s="1">
        <f t="shared" si="6"/>
        <v>1.3416510953753758E-2</v>
      </c>
      <c r="D231" s="1">
        <f t="shared" si="5"/>
        <v>0.48362043748135197</v>
      </c>
    </row>
    <row r="232" spans="1:4" x14ac:dyDescent="0.2">
      <c r="A232" s="4">
        <v>38672</v>
      </c>
      <c r="B232" s="5">
        <v>64.95</v>
      </c>
      <c r="C232" s="1">
        <f t="shared" si="6"/>
        <v>4.1977396150810968E-2</v>
      </c>
      <c r="D232" s="1">
        <f t="shared" si="5"/>
        <v>0.49340204030515422</v>
      </c>
    </row>
    <row r="233" spans="1:4" x14ac:dyDescent="0.2">
      <c r="A233" s="4">
        <v>38673</v>
      </c>
      <c r="B233" s="5">
        <v>64.52</v>
      </c>
      <c r="C233" s="1">
        <f t="shared" si="6"/>
        <v>-6.6424898596004877E-3</v>
      </c>
      <c r="D233" s="1">
        <f t="shared" si="5"/>
        <v>0.49236194299106439</v>
      </c>
    </row>
    <row r="234" spans="1:4" x14ac:dyDescent="0.2">
      <c r="A234" s="4">
        <v>38674</v>
      </c>
      <c r="B234" s="5">
        <v>64.56</v>
      </c>
      <c r="C234" s="1">
        <f t="shared" si="6"/>
        <v>6.1977070468524544E-4</v>
      </c>
      <c r="D234" s="1">
        <f t="shared" si="5"/>
        <v>0.48760364553154584</v>
      </c>
    </row>
    <row r="235" spans="1:4" x14ac:dyDescent="0.2">
      <c r="A235" s="4">
        <v>38677</v>
      </c>
      <c r="B235" s="5">
        <v>64.959999999999994</v>
      </c>
      <c r="C235" s="1">
        <f t="shared" si="6"/>
        <v>6.1766718917289163E-3</v>
      </c>
      <c r="D235" s="1">
        <f t="shared" si="5"/>
        <v>0.4875581008570738</v>
      </c>
    </row>
    <row r="236" spans="1:4" x14ac:dyDescent="0.2">
      <c r="A236" s="4">
        <v>38678</v>
      </c>
      <c r="B236" s="5">
        <v>66.52</v>
      </c>
      <c r="C236" s="1">
        <f t="shared" si="6"/>
        <v>2.3730958471304481E-2</v>
      </c>
      <c r="D236" s="1">
        <f t="shared" si="5"/>
        <v>0.48817828679606134</v>
      </c>
    </row>
    <row r="237" spans="1:4" x14ac:dyDescent="0.2">
      <c r="A237" s="4">
        <v>38679</v>
      </c>
      <c r="B237" s="5">
        <v>67.11</v>
      </c>
      <c r="C237" s="1">
        <f t="shared" si="6"/>
        <v>8.8304098454210552E-3</v>
      </c>
      <c r="D237" s="1">
        <f t="shared" si="5"/>
        <v>0.48142547920385753</v>
      </c>
    </row>
    <row r="238" spans="1:4" x14ac:dyDescent="0.2">
      <c r="A238" s="4">
        <v>38681</v>
      </c>
      <c r="B238" s="5">
        <v>69.34</v>
      </c>
      <c r="C238" s="1">
        <f t="shared" si="6"/>
        <v>3.2688876086729456E-2</v>
      </c>
      <c r="D238" s="1">
        <f t="shared" si="5"/>
        <v>0.48676694082415228</v>
      </c>
    </row>
    <row r="239" spans="1:4" x14ac:dyDescent="0.2">
      <c r="A239" s="4">
        <v>38684</v>
      </c>
      <c r="B239" s="5">
        <v>69.66</v>
      </c>
      <c r="C239" s="1">
        <f t="shared" si="6"/>
        <v>4.6043246809777281E-3</v>
      </c>
      <c r="D239" s="1">
        <f t="shared" si="5"/>
        <v>0.48367677458019959</v>
      </c>
    </row>
    <row r="240" spans="1:4" x14ac:dyDescent="0.2">
      <c r="A240" s="4">
        <v>38685</v>
      </c>
      <c r="B240" s="5">
        <v>68.099999999999994</v>
      </c>
      <c r="C240" s="1">
        <f t="shared" si="6"/>
        <v>-2.2649051782388539E-2</v>
      </c>
      <c r="D240" s="1">
        <f t="shared" si="5"/>
        <v>0.48614838712551167</v>
      </c>
    </row>
    <row r="241" spans="1:4" x14ac:dyDescent="0.2">
      <c r="A241" s="4">
        <v>38686</v>
      </c>
      <c r="B241" s="5">
        <v>67.819999999999993</v>
      </c>
      <c r="C241" s="1">
        <f t="shared" si="6"/>
        <v>-4.120076457974093E-3</v>
      </c>
      <c r="D241" s="1">
        <f t="shared" si="5"/>
        <v>0.48656360731464715</v>
      </c>
    </row>
    <row r="242" spans="1:4" x14ac:dyDescent="0.2">
      <c r="A242" s="4">
        <v>38687</v>
      </c>
      <c r="B242" s="5">
        <v>71.599999999999994</v>
      </c>
      <c r="C242" s="1">
        <f t="shared" si="6"/>
        <v>5.4237937269107334E-2</v>
      </c>
      <c r="D242" s="1">
        <f t="shared" si="5"/>
        <v>0.49927763412557963</v>
      </c>
    </row>
    <row r="243" spans="1:4" x14ac:dyDescent="0.2">
      <c r="A243" s="4">
        <v>38688</v>
      </c>
      <c r="B243" s="5">
        <v>72.63</v>
      </c>
      <c r="C243" s="1">
        <f t="shared" si="6"/>
        <v>1.4282985651476832E-2</v>
      </c>
      <c r="D243" s="1">
        <f t="shared" si="5"/>
        <v>0.49889056354894357</v>
      </c>
    </row>
    <row r="244" spans="1:4" x14ac:dyDescent="0.2">
      <c r="A244" s="4">
        <v>38691</v>
      </c>
      <c r="B244" s="5">
        <v>71.819999999999993</v>
      </c>
      <c r="C244" s="1">
        <f t="shared" si="6"/>
        <v>-1.1215070820140068E-2</v>
      </c>
      <c r="D244" s="1">
        <f t="shared" si="5"/>
        <v>0.49867544246518758</v>
      </c>
    </row>
    <row r="245" spans="1:4" x14ac:dyDescent="0.2">
      <c r="A245" s="4">
        <v>38692</v>
      </c>
      <c r="B245" s="5">
        <v>74.05</v>
      </c>
      <c r="C245" s="1">
        <f t="shared" si="6"/>
        <v>3.0577551915871033E-2</v>
      </c>
      <c r="D245" s="1">
        <f t="shared" si="5"/>
        <v>0.50285198851087254</v>
      </c>
    </row>
    <row r="246" spans="1:4" x14ac:dyDescent="0.2">
      <c r="A246" s="4">
        <v>38693</v>
      </c>
      <c r="B246" s="5">
        <v>73.95</v>
      </c>
      <c r="C246" s="1">
        <f t="shared" si="6"/>
        <v>-1.351351556998958E-3</v>
      </c>
      <c r="D246" s="1">
        <f t="shared" si="5"/>
        <v>0.50187059237569931</v>
      </c>
    </row>
    <row r="247" spans="1:4" x14ac:dyDescent="0.2">
      <c r="A247" s="4">
        <v>38694</v>
      </c>
      <c r="B247" s="5">
        <v>74.08</v>
      </c>
      <c r="C247" s="1">
        <f t="shared" si="6"/>
        <v>1.7564011811151245E-3</v>
      </c>
      <c r="D247" s="1">
        <f t="shared" si="5"/>
        <v>0.48148890274992112</v>
      </c>
    </row>
    <row r="248" spans="1:4" x14ac:dyDescent="0.2">
      <c r="A248" s="4">
        <v>38695</v>
      </c>
      <c r="B248" s="5">
        <v>74.33</v>
      </c>
      <c r="C248" s="1">
        <f t="shared" si="6"/>
        <v>3.3690483992781725E-3</v>
      </c>
      <c r="D248" s="1">
        <f t="shared" si="5"/>
        <v>0.47932582570441939</v>
      </c>
    </row>
    <row r="249" spans="1:4" x14ac:dyDescent="0.2">
      <c r="A249" s="4">
        <v>38698</v>
      </c>
      <c r="B249" s="5">
        <v>74.91</v>
      </c>
      <c r="C249" s="1">
        <f t="shared" si="6"/>
        <v>7.7727542225894675E-3</v>
      </c>
      <c r="D249" s="1">
        <f t="shared" si="5"/>
        <v>0.47704912623962603</v>
      </c>
    </row>
    <row r="250" spans="1:4" x14ac:dyDescent="0.2">
      <c r="A250" s="4">
        <v>38699</v>
      </c>
      <c r="B250" s="5">
        <v>74.98</v>
      </c>
      <c r="C250" s="1">
        <f t="shared" si="6"/>
        <v>9.3401834797461256E-4</v>
      </c>
      <c r="D250" s="1">
        <f t="shared" si="5"/>
        <v>0.47668802712405911</v>
      </c>
    </row>
    <row r="251" spans="1:4" x14ac:dyDescent="0.2">
      <c r="A251" s="4">
        <v>38700</v>
      </c>
      <c r="B251" s="5">
        <v>72.010000000000005</v>
      </c>
      <c r="C251" s="1">
        <f t="shared" si="6"/>
        <v>-4.0416413046990521E-2</v>
      </c>
      <c r="D251" s="1">
        <f t="shared" si="5"/>
        <v>0.49062379920172483</v>
      </c>
    </row>
    <row r="252" spans="1:4" x14ac:dyDescent="0.2">
      <c r="A252" s="4">
        <v>38701</v>
      </c>
      <c r="B252" s="5">
        <v>72.180000000000007</v>
      </c>
      <c r="C252" s="1">
        <f t="shared" si="6"/>
        <v>2.3580009538671674E-3</v>
      </c>
      <c r="D252" s="1">
        <f t="shared" si="5"/>
        <v>0.48623778001775514</v>
      </c>
    </row>
    <row r="253" spans="1:4" x14ac:dyDescent="0.2">
      <c r="A253" s="4">
        <v>38702</v>
      </c>
      <c r="B253" s="5">
        <v>71.11</v>
      </c>
      <c r="C253" s="1">
        <f t="shared" si="6"/>
        <v>-1.4935025319216096E-2</v>
      </c>
      <c r="D253" s="1">
        <f t="shared" ref="D253:D316" si="7">STDEV(C204:C253)*SQRT($B$2)</f>
        <v>0.48411208002034389</v>
      </c>
    </row>
    <row r="254" spans="1:4" x14ac:dyDescent="0.2">
      <c r="A254" s="4">
        <v>38705</v>
      </c>
      <c r="B254" s="5">
        <v>71.38</v>
      </c>
      <c r="C254" s="1">
        <f t="shared" si="6"/>
        <v>3.7897441665875652E-3</v>
      </c>
      <c r="D254" s="1">
        <f t="shared" si="7"/>
        <v>0.48260185557902335</v>
      </c>
    </row>
    <row r="255" spans="1:4" x14ac:dyDescent="0.2">
      <c r="A255" s="4">
        <v>38706</v>
      </c>
      <c r="B255" s="5">
        <v>72.11</v>
      </c>
      <c r="C255" s="1">
        <f t="shared" si="6"/>
        <v>1.0175012866653902E-2</v>
      </c>
      <c r="D255" s="1">
        <f t="shared" si="7"/>
        <v>0.47776525844490281</v>
      </c>
    </row>
    <row r="256" spans="1:4" x14ac:dyDescent="0.2">
      <c r="A256" s="4">
        <v>38707</v>
      </c>
      <c r="B256" s="5">
        <v>73.5</v>
      </c>
      <c r="C256" s="1">
        <f t="shared" si="6"/>
        <v>1.9092675290122742E-2</v>
      </c>
      <c r="D256" s="1">
        <f t="shared" si="7"/>
        <v>0.47667864582125297</v>
      </c>
    </row>
    <row r="257" spans="1:4" x14ac:dyDescent="0.2">
      <c r="A257" s="4">
        <v>38708</v>
      </c>
      <c r="B257" s="5">
        <v>74.02</v>
      </c>
      <c r="C257" s="1">
        <f t="shared" si="6"/>
        <v>7.0499207392188618E-3</v>
      </c>
      <c r="D257" s="1">
        <f t="shared" si="7"/>
        <v>0.45329644225959814</v>
      </c>
    </row>
    <row r="258" spans="1:4" x14ac:dyDescent="0.2">
      <c r="A258" s="4">
        <v>38709</v>
      </c>
      <c r="B258" s="5">
        <v>73.349999999999994</v>
      </c>
      <c r="C258" s="1">
        <f t="shared" si="6"/>
        <v>-9.0928223690192669E-3</v>
      </c>
      <c r="D258" s="1">
        <f t="shared" si="7"/>
        <v>0.39962819258306825</v>
      </c>
    </row>
    <row r="259" spans="1:4" x14ac:dyDescent="0.2">
      <c r="A259" s="4">
        <v>38713</v>
      </c>
      <c r="B259" s="5">
        <v>74.23</v>
      </c>
      <c r="C259" s="1">
        <f t="shared" si="6"/>
        <v>1.1925876540464914E-2</v>
      </c>
      <c r="D259" s="1">
        <f t="shared" si="7"/>
        <v>0.39990380663506875</v>
      </c>
    </row>
    <row r="260" spans="1:4" x14ac:dyDescent="0.2">
      <c r="A260" s="4">
        <v>38714</v>
      </c>
      <c r="B260" s="5">
        <v>73.569999999999993</v>
      </c>
      <c r="C260" s="1">
        <f t="shared" si="6"/>
        <v>-8.9310471852826652E-3</v>
      </c>
      <c r="D260" s="1">
        <f t="shared" si="7"/>
        <v>0.39945688763836112</v>
      </c>
    </row>
    <row r="261" spans="1:4" x14ac:dyDescent="0.2">
      <c r="A261" s="4">
        <v>38715</v>
      </c>
      <c r="B261" s="5">
        <v>71.45</v>
      </c>
      <c r="C261" s="1">
        <f t="shared" si="6"/>
        <v>-2.9239429568296501E-2</v>
      </c>
      <c r="D261" s="1">
        <f t="shared" si="7"/>
        <v>0.40305975566345265</v>
      </c>
    </row>
    <row r="262" spans="1:4" x14ac:dyDescent="0.2">
      <c r="A262" s="4">
        <v>38716</v>
      </c>
      <c r="B262" s="5">
        <v>71.89</v>
      </c>
      <c r="C262" s="1">
        <f t="shared" si="6"/>
        <v>6.1392686199038217E-3</v>
      </c>
      <c r="D262" s="1">
        <f t="shared" si="7"/>
        <v>0.38376912551540532</v>
      </c>
    </row>
    <row r="263" spans="1:4" x14ac:dyDescent="0.2">
      <c r="A263" s="4">
        <v>38720</v>
      </c>
      <c r="B263" s="5">
        <v>74.75</v>
      </c>
      <c r="C263" s="1">
        <f t="shared" si="6"/>
        <v>3.9012039275015661E-2</v>
      </c>
      <c r="D263" s="1">
        <f t="shared" si="7"/>
        <v>0.39204386493896648</v>
      </c>
    </row>
    <row r="264" spans="1:4" x14ac:dyDescent="0.2">
      <c r="A264" s="4">
        <v>38721</v>
      </c>
      <c r="B264" s="5">
        <v>74.97</v>
      </c>
      <c r="C264" s="1">
        <f t="shared" si="6"/>
        <v>2.9388212441748599E-3</v>
      </c>
      <c r="D264" s="1">
        <f t="shared" si="7"/>
        <v>0.39014163145504427</v>
      </c>
    </row>
    <row r="265" spans="1:4" x14ac:dyDescent="0.2">
      <c r="A265" s="4">
        <v>38722</v>
      </c>
      <c r="B265" s="5">
        <v>74.38</v>
      </c>
      <c r="C265" s="1">
        <f t="shared" si="6"/>
        <v>-7.9009450180467407E-3</v>
      </c>
      <c r="D265" s="1">
        <f t="shared" si="7"/>
        <v>0.38991583643469419</v>
      </c>
    </row>
    <row r="266" spans="1:4" x14ac:dyDescent="0.2">
      <c r="A266" s="4">
        <v>38723</v>
      </c>
      <c r="B266" s="5">
        <v>76.3</v>
      </c>
      <c r="C266" s="1">
        <f t="shared" si="6"/>
        <v>2.5485849793487312E-2</v>
      </c>
      <c r="D266" s="1">
        <f t="shared" si="7"/>
        <v>0.39053279486965298</v>
      </c>
    </row>
    <row r="267" spans="1:4" x14ac:dyDescent="0.2">
      <c r="A267" s="4">
        <v>38726</v>
      </c>
      <c r="B267" s="5">
        <v>76.05</v>
      </c>
      <c r="C267" s="1">
        <f t="shared" si="6"/>
        <v>-3.2819195851094083E-3</v>
      </c>
      <c r="D267" s="1">
        <f t="shared" si="7"/>
        <v>0.39029708799594215</v>
      </c>
    </row>
    <row r="268" spans="1:4" x14ac:dyDescent="0.2">
      <c r="A268" s="4">
        <v>38727</v>
      </c>
      <c r="B268" s="5">
        <v>80.86</v>
      </c>
      <c r="C268" s="1">
        <f t="shared" ref="C268:C331" si="8">LN(B268/B267)</f>
        <v>6.1328245507322951E-2</v>
      </c>
      <c r="D268" s="1">
        <f t="shared" si="7"/>
        <v>0.40647436393371139</v>
      </c>
    </row>
    <row r="269" spans="1:4" x14ac:dyDescent="0.2">
      <c r="A269" s="4">
        <v>38728</v>
      </c>
      <c r="B269" s="5">
        <v>83.9</v>
      </c>
      <c r="C269" s="1">
        <f t="shared" si="8"/>
        <v>3.690634926053573E-2</v>
      </c>
      <c r="D269" s="1">
        <f t="shared" si="7"/>
        <v>0.40825113388825274</v>
      </c>
    </row>
    <row r="270" spans="1:4" x14ac:dyDescent="0.2">
      <c r="A270" s="4">
        <v>38729</v>
      </c>
      <c r="B270" s="5">
        <v>84.29</v>
      </c>
      <c r="C270" s="1">
        <f t="shared" si="8"/>
        <v>4.6376205362302419E-3</v>
      </c>
      <c r="D270" s="1">
        <f t="shared" si="7"/>
        <v>0.38717371513636589</v>
      </c>
    </row>
    <row r="271" spans="1:4" x14ac:dyDescent="0.2">
      <c r="A271" s="4">
        <v>38730</v>
      </c>
      <c r="B271" s="5">
        <v>85.59</v>
      </c>
      <c r="C271" s="1">
        <f t="shared" si="8"/>
        <v>1.5305219884127473E-2</v>
      </c>
      <c r="D271" s="1">
        <f t="shared" si="7"/>
        <v>0.38687619175498306</v>
      </c>
    </row>
    <row r="272" spans="1:4" x14ac:dyDescent="0.2">
      <c r="A272" s="4">
        <v>38734</v>
      </c>
      <c r="B272" s="5">
        <v>84.71</v>
      </c>
      <c r="C272" s="1">
        <f t="shared" si="8"/>
        <v>-1.0334795450058856E-2</v>
      </c>
      <c r="D272" s="1">
        <f t="shared" si="7"/>
        <v>0.37850541673346488</v>
      </c>
    </row>
    <row r="273" spans="1:4" x14ac:dyDescent="0.2">
      <c r="A273" s="4">
        <v>38735</v>
      </c>
      <c r="B273" s="5">
        <v>82.49</v>
      </c>
      <c r="C273" s="1">
        <f t="shared" si="8"/>
        <v>-2.6556584570819254E-2</v>
      </c>
      <c r="D273" s="1">
        <f t="shared" si="7"/>
        <v>0.3830414774646711</v>
      </c>
    </row>
    <row r="274" spans="1:4" x14ac:dyDescent="0.2">
      <c r="A274" s="4">
        <v>38736</v>
      </c>
      <c r="B274" s="5">
        <v>79.040000000000006</v>
      </c>
      <c r="C274" s="1">
        <f t="shared" si="8"/>
        <v>-4.2723020433027774E-2</v>
      </c>
      <c r="D274" s="1">
        <f t="shared" si="7"/>
        <v>0.40236150204673432</v>
      </c>
    </row>
    <row r="275" spans="1:4" x14ac:dyDescent="0.2">
      <c r="A275" s="4">
        <v>38737</v>
      </c>
      <c r="B275" s="5">
        <v>76.09</v>
      </c>
      <c r="C275" s="1">
        <f t="shared" si="8"/>
        <v>-3.8037203251180998E-2</v>
      </c>
      <c r="D275" s="1">
        <f t="shared" si="7"/>
        <v>0.41548973485122881</v>
      </c>
    </row>
    <row r="276" spans="1:4" x14ac:dyDescent="0.2">
      <c r="A276" s="4">
        <v>38740</v>
      </c>
      <c r="B276" s="5">
        <v>77.67</v>
      </c>
      <c r="C276" s="1">
        <f t="shared" si="8"/>
        <v>2.0552232243124573E-2</v>
      </c>
      <c r="D276" s="1">
        <f t="shared" si="7"/>
        <v>0.41669913490296157</v>
      </c>
    </row>
    <row r="277" spans="1:4" x14ac:dyDescent="0.2">
      <c r="A277" s="4">
        <v>38741</v>
      </c>
      <c r="B277" s="5">
        <v>76.040000000000006</v>
      </c>
      <c r="C277" s="1">
        <f t="shared" si="8"/>
        <v>-2.1209564811327516E-2</v>
      </c>
      <c r="D277" s="1">
        <f t="shared" si="7"/>
        <v>0.42275235210861956</v>
      </c>
    </row>
    <row r="278" spans="1:4" x14ac:dyDescent="0.2">
      <c r="A278" s="4">
        <v>38742</v>
      </c>
      <c r="B278" s="5">
        <v>74.2</v>
      </c>
      <c r="C278" s="1">
        <f t="shared" si="8"/>
        <v>-2.4495367446893724E-2</v>
      </c>
      <c r="D278" s="1">
        <f t="shared" si="7"/>
        <v>0.42843582112284995</v>
      </c>
    </row>
    <row r="279" spans="1:4" x14ac:dyDescent="0.2">
      <c r="A279" s="4">
        <v>38743</v>
      </c>
      <c r="B279" s="5">
        <v>72.33</v>
      </c>
      <c r="C279" s="1">
        <f t="shared" si="8"/>
        <v>-2.5525169312145428E-2</v>
      </c>
      <c r="D279" s="1">
        <f t="shared" si="7"/>
        <v>0.43567420432108478</v>
      </c>
    </row>
    <row r="280" spans="1:4" x14ac:dyDescent="0.2">
      <c r="A280" s="4">
        <v>38744</v>
      </c>
      <c r="B280" s="5">
        <v>72.03</v>
      </c>
      <c r="C280" s="1">
        <f t="shared" si="8"/>
        <v>-4.1562819599177559E-3</v>
      </c>
      <c r="D280" s="1">
        <f t="shared" si="7"/>
        <v>0.43595099857063024</v>
      </c>
    </row>
    <row r="281" spans="1:4" x14ac:dyDescent="0.2">
      <c r="A281" s="4">
        <v>38747</v>
      </c>
      <c r="B281" s="5">
        <v>75</v>
      </c>
      <c r="C281" s="1">
        <f t="shared" si="8"/>
        <v>4.0405414635038953E-2</v>
      </c>
      <c r="D281" s="1">
        <f t="shared" si="7"/>
        <v>0.44664037763344744</v>
      </c>
    </row>
    <row r="282" spans="1:4" x14ac:dyDescent="0.2">
      <c r="A282" s="4">
        <v>38748</v>
      </c>
      <c r="B282" s="5">
        <v>75.510000000000005</v>
      </c>
      <c r="C282" s="1">
        <f t="shared" si="8"/>
        <v>6.7769842790238897E-3</v>
      </c>
      <c r="D282" s="1">
        <f t="shared" si="7"/>
        <v>0.43412959855228755</v>
      </c>
    </row>
    <row r="283" spans="1:4" x14ac:dyDescent="0.2">
      <c r="A283" s="4">
        <v>38749</v>
      </c>
      <c r="B283" s="5">
        <v>75.42</v>
      </c>
      <c r="C283" s="1">
        <f t="shared" si="8"/>
        <v>-1.1926059851231359E-3</v>
      </c>
      <c r="D283" s="1">
        <f t="shared" si="7"/>
        <v>0.43347592976736127</v>
      </c>
    </row>
    <row r="284" spans="1:4" x14ac:dyDescent="0.2">
      <c r="A284" s="4">
        <v>38750</v>
      </c>
      <c r="B284" s="5">
        <v>72.099999999999994</v>
      </c>
      <c r="C284" s="1">
        <f t="shared" si="8"/>
        <v>-4.5018447539307727E-2</v>
      </c>
      <c r="D284" s="1">
        <f t="shared" si="7"/>
        <v>0.45255655281238893</v>
      </c>
    </row>
    <row r="285" spans="1:4" x14ac:dyDescent="0.2">
      <c r="A285" s="4">
        <v>38751</v>
      </c>
      <c r="B285" s="5">
        <v>71.849999999999994</v>
      </c>
      <c r="C285" s="1">
        <f t="shared" si="8"/>
        <v>-3.4734317658694572E-3</v>
      </c>
      <c r="D285" s="1">
        <f t="shared" si="7"/>
        <v>0.45267742222578961</v>
      </c>
    </row>
    <row r="286" spans="1:4" x14ac:dyDescent="0.2">
      <c r="A286" s="4">
        <v>38754</v>
      </c>
      <c r="B286" s="5">
        <v>67.3</v>
      </c>
      <c r="C286" s="1">
        <f t="shared" si="8"/>
        <v>-6.542037587435183E-2</v>
      </c>
      <c r="D286" s="1">
        <f t="shared" si="7"/>
        <v>0.4838346579610755</v>
      </c>
    </row>
    <row r="287" spans="1:4" x14ac:dyDescent="0.2">
      <c r="A287" s="4">
        <v>38755</v>
      </c>
      <c r="B287" s="5">
        <v>67.599999999999994</v>
      </c>
      <c r="C287" s="1">
        <f t="shared" si="8"/>
        <v>4.4477463982362702E-3</v>
      </c>
      <c r="D287" s="1">
        <f t="shared" si="7"/>
        <v>0.48339926994568383</v>
      </c>
    </row>
    <row r="288" spans="1:4" x14ac:dyDescent="0.2">
      <c r="A288" s="4">
        <v>38756</v>
      </c>
      <c r="B288" s="5">
        <v>68.81</v>
      </c>
      <c r="C288" s="1">
        <f t="shared" si="8"/>
        <v>1.774110016547022E-2</v>
      </c>
      <c r="D288" s="1">
        <f t="shared" si="7"/>
        <v>0.47755503151349771</v>
      </c>
    </row>
    <row r="289" spans="1:4" x14ac:dyDescent="0.2">
      <c r="A289" s="4">
        <v>38757</v>
      </c>
      <c r="B289" s="5">
        <v>64.95</v>
      </c>
      <c r="C289" s="1">
        <f t="shared" si="8"/>
        <v>-5.7731340097779901E-2</v>
      </c>
      <c r="D289" s="1">
        <f t="shared" si="7"/>
        <v>0.50200223625124818</v>
      </c>
    </row>
    <row r="290" spans="1:4" x14ac:dyDescent="0.2">
      <c r="A290" s="4">
        <v>38758</v>
      </c>
      <c r="B290" s="5">
        <v>67.31</v>
      </c>
      <c r="C290" s="1">
        <f t="shared" si="8"/>
        <v>3.56910709060132E-2</v>
      </c>
      <c r="D290" s="1">
        <f t="shared" si="7"/>
        <v>0.50831473180484321</v>
      </c>
    </row>
    <row r="291" spans="1:4" x14ac:dyDescent="0.2">
      <c r="A291" s="4">
        <v>38761</v>
      </c>
      <c r="B291" s="5">
        <v>64.709999999999994</v>
      </c>
      <c r="C291" s="1">
        <f t="shared" si="8"/>
        <v>-3.9393064953447153E-2</v>
      </c>
      <c r="D291" s="1">
        <f t="shared" si="7"/>
        <v>0.51914242331672467</v>
      </c>
    </row>
    <row r="292" spans="1:4" x14ac:dyDescent="0.2">
      <c r="A292" s="4">
        <v>38762</v>
      </c>
      <c r="B292" s="5">
        <v>67.64</v>
      </c>
      <c r="C292" s="1">
        <f t="shared" si="8"/>
        <v>4.4283774961204947E-2</v>
      </c>
      <c r="D292" s="1">
        <f t="shared" si="7"/>
        <v>0.51190784946575274</v>
      </c>
    </row>
    <row r="293" spans="1:4" x14ac:dyDescent="0.2">
      <c r="A293" s="4">
        <v>38763</v>
      </c>
      <c r="B293" s="5">
        <v>69.22</v>
      </c>
      <c r="C293" s="1">
        <f t="shared" si="8"/>
        <v>2.3090314176818637E-2</v>
      </c>
      <c r="D293" s="1">
        <f t="shared" si="7"/>
        <v>0.51443104006495133</v>
      </c>
    </row>
    <row r="294" spans="1:4" x14ac:dyDescent="0.2">
      <c r="A294" s="4">
        <v>38764</v>
      </c>
      <c r="B294" s="5">
        <v>70.569999999999993</v>
      </c>
      <c r="C294" s="1">
        <f t="shared" si="8"/>
        <v>1.9315286805540507E-2</v>
      </c>
      <c r="D294" s="1">
        <f t="shared" si="7"/>
        <v>0.51650753223750456</v>
      </c>
    </row>
    <row r="295" spans="1:4" x14ac:dyDescent="0.2">
      <c r="A295" s="4">
        <v>38765</v>
      </c>
      <c r="B295" s="5">
        <v>70.290000000000006</v>
      </c>
      <c r="C295" s="1">
        <f t="shared" si="8"/>
        <v>-3.9755838249247461E-3</v>
      </c>
      <c r="D295" s="1">
        <f t="shared" si="7"/>
        <v>0.50948447671450003</v>
      </c>
    </row>
    <row r="296" spans="1:4" x14ac:dyDescent="0.2">
      <c r="A296" s="4">
        <v>38769</v>
      </c>
      <c r="B296" s="5">
        <v>69.08</v>
      </c>
      <c r="C296" s="1">
        <f t="shared" si="8"/>
        <v>-1.7364287909336269E-2</v>
      </c>
      <c r="D296" s="1">
        <f t="shared" si="7"/>
        <v>0.51139026351253292</v>
      </c>
    </row>
    <row r="297" spans="1:4" x14ac:dyDescent="0.2">
      <c r="A297" s="4">
        <v>38770</v>
      </c>
      <c r="B297" s="5">
        <v>71.319999999999993</v>
      </c>
      <c r="C297" s="1">
        <f t="shared" si="8"/>
        <v>3.1911539716461781E-2</v>
      </c>
      <c r="D297" s="1">
        <f t="shared" si="7"/>
        <v>0.5191909907312573</v>
      </c>
    </row>
    <row r="298" spans="1:4" x14ac:dyDescent="0.2">
      <c r="A298" s="4">
        <v>38771</v>
      </c>
      <c r="B298" s="5">
        <v>71.75</v>
      </c>
      <c r="C298" s="1">
        <f t="shared" si="8"/>
        <v>6.0110616447909626E-3</v>
      </c>
      <c r="D298" s="1">
        <f t="shared" si="7"/>
        <v>0.51939651312521273</v>
      </c>
    </row>
    <row r="299" spans="1:4" x14ac:dyDescent="0.2">
      <c r="A299" s="4">
        <v>38772</v>
      </c>
      <c r="B299" s="5">
        <v>71.459999999999994</v>
      </c>
      <c r="C299" s="1">
        <f t="shared" si="8"/>
        <v>-4.050002044466804E-3</v>
      </c>
      <c r="D299" s="1">
        <f t="shared" si="7"/>
        <v>0.51894085872615581</v>
      </c>
    </row>
    <row r="300" spans="1:4" x14ac:dyDescent="0.2">
      <c r="A300" s="4">
        <v>38775</v>
      </c>
      <c r="B300" s="5">
        <v>70.989999999999995</v>
      </c>
      <c r="C300" s="1">
        <f t="shared" si="8"/>
        <v>-6.5988305439692073E-3</v>
      </c>
      <c r="D300" s="1">
        <f t="shared" si="7"/>
        <v>0.51913697524770575</v>
      </c>
    </row>
    <row r="301" spans="1:4" x14ac:dyDescent="0.2">
      <c r="A301" s="4">
        <v>38776</v>
      </c>
      <c r="B301" s="5">
        <v>68.489999999999995</v>
      </c>
      <c r="C301" s="1">
        <f t="shared" si="8"/>
        <v>-3.5851272841480722E-2</v>
      </c>
      <c r="D301" s="1">
        <f t="shared" si="7"/>
        <v>0.51670198708234905</v>
      </c>
    </row>
    <row r="302" spans="1:4" x14ac:dyDescent="0.2">
      <c r="A302" s="4">
        <v>38777</v>
      </c>
      <c r="B302" s="5">
        <v>69.099999999999994</v>
      </c>
      <c r="C302" s="1">
        <f t="shared" si="8"/>
        <v>8.8669815638103069E-3</v>
      </c>
      <c r="D302" s="1">
        <f t="shared" si="7"/>
        <v>0.51731622420065393</v>
      </c>
    </row>
    <row r="303" spans="1:4" x14ac:dyDescent="0.2">
      <c r="A303" s="4">
        <v>38778</v>
      </c>
      <c r="B303" s="5">
        <v>69.61</v>
      </c>
      <c r="C303" s="1">
        <f t="shared" si="8"/>
        <v>7.353504406951027E-3</v>
      </c>
      <c r="D303" s="1">
        <f t="shared" si="7"/>
        <v>0.51630701712348825</v>
      </c>
    </row>
    <row r="304" spans="1:4" x14ac:dyDescent="0.2">
      <c r="A304" s="4">
        <v>38779</v>
      </c>
      <c r="B304" s="5">
        <v>67.72</v>
      </c>
      <c r="C304" s="1">
        <f t="shared" si="8"/>
        <v>-2.7526677915640518E-2</v>
      </c>
      <c r="D304" s="1">
        <f t="shared" si="7"/>
        <v>0.5213109787448692</v>
      </c>
    </row>
    <row r="305" spans="1:4" x14ac:dyDescent="0.2">
      <c r="A305" s="4">
        <v>38782</v>
      </c>
      <c r="B305" s="5">
        <v>65.48</v>
      </c>
      <c r="C305" s="1">
        <f t="shared" si="8"/>
        <v>-3.3636804762000344E-2</v>
      </c>
      <c r="D305" s="1">
        <f t="shared" si="7"/>
        <v>0.52768256412124281</v>
      </c>
    </row>
    <row r="306" spans="1:4" x14ac:dyDescent="0.2">
      <c r="A306" s="4">
        <v>38783</v>
      </c>
      <c r="B306" s="5">
        <v>66.31</v>
      </c>
      <c r="C306" s="1">
        <f t="shared" si="8"/>
        <v>1.2595962877842171E-2</v>
      </c>
      <c r="D306" s="1">
        <f t="shared" si="7"/>
        <v>0.52604407105460083</v>
      </c>
    </row>
    <row r="307" spans="1:4" x14ac:dyDescent="0.2">
      <c r="A307" s="4">
        <v>38784</v>
      </c>
      <c r="B307" s="5">
        <v>65.66</v>
      </c>
      <c r="C307" s="1">
        <f t="shared" si="8"/>
        <v>-9.8508033073297415E-3</v>
      </c>
      <c r="D307" s="1">
        <f t="shared" si="7"/>
        <v>0.52584600565134887</v>
      </c>
    </row>
    <row r="308" spans="1:4" x14ac:dyDescent="0.2">
      <c r="A308" s="4">
        <v>38785</v>
      </c>
      <c r="B308" s="5">
        <v>63.93</v>
      </c>
      <c r="C308" s="1">
        <f t="shared" si="8"/>
        <v>-2.6701177294811074E-2</v>
      </c>
      <c r="D308" s="1">
        <f t="shared" si="7"/>
        <v>0.52965455393111505</v>
      </c>
    </row>
    <row r="309" spans="1:4" x14ac:dyDescent="0.2">
      <c r="A309" s="4">
        <v>38786</v>
      </c>
      <c r="B309" s="5">
        <v>63.19</v>
      </c>
      <c r="C309" s="1">
        <f t="shared" si="8"/>
        <v>-1.1642673993271636E-2</v>
      </c>
      <c r="D309" s="1">
        <f t="shared" si="7"/>
        <v>0.52861726029703082</v>
      </c>
    </row>
    <row r="310" spans="1:4" x14ac:dyDescent="0.2">
      <c r="A310" s="4">
        <v>38789</v>
      </c>
      <c r="B310" s="5">
        <v>65.680000000000007</v>
      </c>
      <c r="C310" s="1">
        <f t="shared" si="8"/>
        <v>3.8648404358809091E-2</v>
      </c>
      <c r="D310" s="1">
        <f t="shared" si="7"/>
        <v>0.54029075047229214</v>
      </c>
    </row>
    <row r="311" spans="1:4" x14ac:dyDescent="0.2">
      <c r="A311" s="4">
        <v>38790</v>
      </c>
      <c r="B311" s="5">
        <v>67.319999999999993</v>
      </c>
      <c r="C311" s="1">
        <f t="shared" si="8"/>
        <v>2.4662904178432216E-2</v>
      </c>
      <c r="D311" s="1">
        <f t="shared" si="7"/>
        <v>0.53987559439128274</v>
      </c>
    </row>
    <row r="312" spans="1:4" x14ac:dyDescent="0.2">
      <c r="A312" s="4">
        <v>38791</v>
      </c>
      <c r="B312" s="5">
        <v>66.23</v>
      </c>
      <c r="C312" s="1">
        <f t="shared" si="8"/>
        <v>-1.6323836825717076E-2</v>
      </c>
      <c r="D312" s="1">
        <f t="shared" si="7"/>
        <v>0.54101398225202924</v>
      </c>
    </row>
    <row r="313" spans="1:4" x14ac:dyDescent="0.2">
      <c r="A313" s="4">
        <v>38792</v>
      </c>
      <c r="B313" s="5">
        <v>64.31</v>
      </c>
      <c r="C313" s="1">
        <f t="shared" si="8"/>
        <v>-2.9418392350116299E-2</v>
      </c>
      <c r="D313" s="1">
        <f t="shared" si="7"/>
        <v>0.53426234354420332</v>
      </c>
    </row>
    <row r="314" spans="1:4" x14ac:dyDescent="0.2">
      <c r="A314" s="4">
        <v>38793</v>
      </c>
      <c r="B314" s="5">
        <v>64.66</v>
      </c>
      <c r="C314" s="1">
        <f t="shared" si="8"/>
        <v>5.4276321505151376E-3</v>
      </c>
      <c r="D314" s="1">
        <f t="shared" si="7"/>
        <v>0.53451098394241592</v>
      </c>
    </row>
    <row r="315" spans="1:4" x14ac:dyDescent="0.2">
      <c r="A315" s="4">
        <v>38796</v>
      </c>
      <c r="B315" s="5">
        <v>63.99</v>
      </c>
      <c r="C315" s="1">
        <f t="shared" si="8"/>
        <v>-1.0415951145918066E-2</v>
      </c>
      <c r="D315" s="1">
        <f t="shared" si="7"/>
        <v>0.53472734822169421</v>
      </c>
    </row>
    <row r="316" spans="1:4" x14ac:dyDescent="0.2">
      <c r="A316" s="4">
        <v>38797</v>
      </c>
      <c r="B316" s="5">
        <v>61.81</v>
      </c>
      <c r="C316" s="1">
        <f t="shared" si="8"/>
        <v>-3.4661657480186986E-2</v>
      </c>
      <c r="D316" s="1">
        <f t="shared" si="7"/>
        <v>0.53554551862702904</v>
      </c>
    </row>
    <row r="317" spans="1:4" x14ac:dyDescent="0.2">
      <c r="A317" s="4">
        <v>38798</v>
      </c>
      <c r="B317" s="5">
        <v>61.67</v>
      </c>
      <c r="C317" s="1">
        <f t="shared" si="8"/>
        <v>-2.2675746677805458E-3</v>
      </c>
      <c r="D317" s="1">
        <f t="shared" ref="D317:D380" si="9">STDEV(C268:C317)*SQRT($B$2)</f>
        <v>0.53556565505710219</v>
      </c>
    </row>
    <row r="318" spans="1:4" x14ac:dyDescent="0.2">
      <c r="A318" s="4">
        <v>38799</v>
      </c>
      <c r="B318" s="5">
        <v>60.16</v>
      </c>
      <c r="C318" s="1">
        <f t="shared" si="8"/>
        <v>-2.4789909361817106E-2</v>
      </c>
      <c r="D318" s="1">
        <f t="shared" si="9"/>
        <v>0.5068614410518808</v>
      </c>
    </row>
    <row r="319" spans="1:4" x14ac:dyDescent="0.2">
      <c r="A319" s="4">
        <v>38800</v>
      </c>
      <c r="B319" s="5">
        <v>59.96</v>
      </c>
      <c r="C319" s="1">
        <f t="shared" si="8"/>
        <v>-3.3300064071873827E-3</v>
      </c>
      <c r="D319" s="1">
        <f t="shared" si="9"/>
        <v>0.49300974502654432</v>
      </c>
    </row>
    <row r="320" spans="1:4" x14ac:dyDescent="0.2">
      <c r="A320" s="4">
        <v>38803</v>
      </c>
      <c r="B320" s="5">
        <v>59.51</v>
      </c>
      <c r="C320" s="1">
        <f t="shared" si="8"/>
        <v>-7.533307577636256E-3</v>
      </c>
      <c r="D320" s="1">
        <f t="shared" si="9"/>
        <v>0.49201704341192187</v>
      </c>
    </row>
    <row r="321" spans="1:4" x14ac:dyDescent="0.2">
      <c r="A321" s="4">
        <v>38804</v>
      </c>
      <c r="B321" s="5">
        <v>58.71</v>
      </c>
      <c r="C321" s="1">
        <f t="shared" si="8"/>
        <v>-1.3534295580666132E-2</v>
      </c>
      <c r="D321" s="1">
        <f t="shared" si="9"/>
        <v>0.48845167457642608</v>
      </c>
    </row>
    <row r="322" spans="1:4" x14ac:dyDescent="0.2">
      <c r="A322" s="4">
        <v>38805</v>
      </c>
      <c r="B322" s="5">
        <v>62.33</v>
      </c>
      <c r="C322" s="1">
        <f t="shared" si="8"/>
        <v>5.9832780744664651E-2</v>
      </c>
      <c r="D322" s="1">
        <f t="shared" si="9"/>
        <v>0.5211564894214854</v>
      </c>
    </row>
    <row r="323" spans="1:4" x14ac:dyDescent="0.2">
      <c r="A323" s="4">
        <v>38806</v>
      </c>
      <c r="B323" s="5">
        <v>62.75</v>
      </c>
      <c r="C323" s="1">
        <f t="shared" si="8"/>
        <v>6.7157271911340022E-3</v>
      </c>
      <c r="D323" s="1">
        <f t="shared" si="9"/>
        <v>0.51919472863142957</v>
      </c>
    </row>
    <row r="324" spans="1:4" x14ac:dyDescent="0.2">
      <c r="A324" s="4">
        <v>38807</v>
      </c>
      <c r="B324" s="5">
        <v>62.72</v>
      </c>
      <c r="C324" s="1">
        <f t="shared" si="8"/>
        <v>-4.7820196974085E-4</v>
      </c>
      <c r="D324" s="1">
        <f t="shared" si="9"/>
        <v>0.50906339430533476</v>
      </c>
    </row>
    <row r="325" spans="1:4" x14ac:dyDescent="0.2">
      <c r="A325" s="4">
        <v>38810</v>
      </c>
      <c r="B325" s="5">
        <v>62.65</v>
      </c>
      <c r="C325" s="1">
        <f t="shared" si="8"/>
        <v>-1.1166947000750686E-3</v>
      </c>
      <c r="D325" s="1">
        <f t="shared" si="9"/>
        <v>0.500718033225383</v>
      </c>
    </row>
    <row r="326" spans="1:4" x14ac:dyDescent="0.2">
      <c r="A326" s="4">
        <v>38811</v>
      </c>
      <c r="B326" s="5">
        <v>61.17</v>
      </c>
      <c r="C326" s="1">
        <f t="shared" si="8"/>
        <v>-2.3906808087603752E-2</v>
      </c>
      <c r="D326" s="1">
        <f t="shared" si="9"/>
        <v>0.49895934935608499</v>
      </c>
    </row>
    <row r="327" spans="1:4" x14ac:dyDescent="0.2">
      <c r="A327" s="4">
        <v>38812</v>
      </c>
      <c r="B327" s="5">
        <v>67.209999999999994</v>
      </c>
      <c r="C327" s="1">
        <f t="shared" si="8"/>
        <v>9.4165172727400798E-2</v>
      </c>
      <c r="D327" s="1">
        <f t="shared" si="9"/>
        <v>0.56381447242996641</v>
      </c>
    </row>
    <row r="328" spans="1:4" x14ac:dyDescent="0.2">
      <c r="A328" s="4">
        <v>38813</v>
      </c>
      <c r="B328" s="5">
        <v>71.239999999999995</v>
      </c>
      <c r="C328" s="1">
        <f t="shared" si="8"/>
        <v>5.823241243958651E-2</v>
      </c>
      <c r="D328" s="1">
        <f t="shared" si="9"/>
        <v>0.5836950110871062</v>
      </c>
    </row>
    <row r="329" spans="1:4" x14ac:dyDescent="0.2">
      <c r="A329" s="4">
        <v>38814</v>
      </c>
      <c r="B329" s="5">
        <v>69.790000000000006</v>
      </c>
      <c r="C329" s="1">
        <f t="shared" si="8"/>
        <v>-2.0563725392400513E-2</v>
      </c>
      <c r="D329" s="1">
        <f t="shared" si="9"/>
        <v>0.58228261253528824</v>
      </c>
    </row>
    <row r="330" spans="1:4" x14ac:dyDescent="0.2">
      <c r="A330" s="4">
        <v>38817</v>
      </c>
      <c r="B330" s="5">
        <v>68.67</v>
      </c>
      <c r="C330" s="1">
        <f t="shared" si="8"/>
        <v>-1.6178310396475284E-2</v>
      </c>
      <c r="D330" s="1">
        <f t="shared" si="9"/>
        <v>0.58371607512170487</v>
      </c>
    </row>
    <row r="331" spans="1:4" x14ac:dyDescent="0.2">
      <c r="A331" s="4">
        <v>38818</v>
      </c>
      <c r="B331" s="5">
        <v>67.989999999999995</v>
      </c>
      <c r="C331" s="1">
        <f t="shared" si="8"/>
        <v>-9.9517870942168705E-3</v>
      </c>
      <c r="D331" s="1">
        <f t="shared" si="9"/>
        <v>0.57289305261921064</v>
      </c>
    </row>
    <row r="332" spans="1:4" x14ac:dyDescent="0.2">
      <c r="A332" s="4">
        <v>38819</v>
      </c>
      <c r="B332" s="5">
        <v>66.709999999999994</v>
      </c>
      <c r="C332" s="1">
        <f t="shared" ref="C332:C395" si="10">LN(B332/B331)</f>
        <v>-1.9005768816944223E-2</v>
      </c>
      <c r="D332" s="1">
        <f t="shared" si="9"/>
        <v>0.57419698839311328</v>
      </c>
    </row>
    <row r="333" spans="1:4" x14ac:dyDescent="0.2">
      <c r="A333" s="4">
        <v>38820</v>
      </c>
      <c r="B333" s="5">
        <v>66.47</v>
      </c>
      <c r="C333" s="1">
        <f t="shared" si="10"/>
        <v>-3.6041486679335259E-3</v>
      </c>
      <c r="D333" s="1">
        <f t="shared" si="9"/>
        <v>0.574193736575767</v>
      </c>
    </row>
    <row r="334" spans="1:4" x14ac:dyDescent="0.2">
      <c r="A334" s="4">
        <v>38824</v>
      </c>
      <c r="B334" s="5">
        <v>64.81</v>
      </c>
      <c r="C334" s="1">
        <f t="shared" si="10"/>
        <v>-2.5290805613865812E-2</v>
      </c>
      <c r="D334" s="1">
        <f t="shared" si="9"/>
        <v>0.56573049198373648</v>
      </c>
    </row>
    <row r="335" spans="1:4" x14ac:dyDescent="0.2">
      <c r="A335" s="4">
        <v>38825</v>
      </c>
      <c r="B335" s="5">
        <v>66.22</v>
      </c>
      <c r="C335" s="1">
        <f t="shared" si="10"/>
        <v>2.1522619679475479E-2</v>
      </c>
      <c r="D335" s="1">
        <f t="shared" si="9"/>
        <v>0.56930876399769959</v>
      </c>
    </row>
    <row r="336" spans="1:4" x14ac:dyDescent="0.2">
      <c r="A336" s="4">
        <v>38826</v>
      </c>
      <c r="B336" s="5">
        <v>65.650000000000006</v>
      </c>
      <c r="C336" s="1">
        <f t="shared" si="10"/>
        <v>-8.6449313702948796E-3</v>
      </c>
      <c r="D336" s="1">
        <f t="shared" si="9"/>
        <v>0.54193078966008756</v>
      </c>
    </row>
    <row r="337" spans="1:4" x14ac:dyDescent="0.2">
      <c r="A337" s="4">
        <v>38827</v>
      </c>
      <c r="B337" s="5">
        <v>67.63</v>
      </c>
      <c r="C337" s="1">
        <f t="shared" si="10"/>
        <v>2.9714070838043265E-2</v>
      </c>
      <c r="D337" s="1">
        <f t="shared" si="9"/>
        <v>0.54791448780806951</v>
      </c>
    </row>
    <row r="338" spans="1:4" x14ac:dyDescent="0.2">
      <c r="A338" s="4">
        <v>38828</v>
      </c>
      <c r="B338" s="5">
        <v>67.040000000000006</v>
      </c>
      <c r="C338" s="1">
        <f t="shared" si="10"/>
        <v>-8.7622154130208452E-3</v>
      </c>
      <c r="D338" s="1">
        <f t="shared" si="9"/>
        <v>0.54620189246629858</v>
      </c>
    </row>
    <row r="339" spans="1:4" x14ac:dyDescent="0.2">
      <c r="A339" s="4">
        <v>38831</v>
      </c>
      <c r="B339" s="5">
        <v>65.75</v>
      </c>
      <c r="C339" s="1">
        <f t="shared" si="10"/>
        <v>-1.9429785115953786E-2</v>
      </c>
      <c r="D339" s="1">
        <f t="shared" si="9"/>
        <v>0.525738247950719</v>
      </c>
    </row>
    <row r="340" spans="1:4" x14ac:dyDescent="0.2">
      <c r="A340" s="4">
        <v>38832</v>
      </c>
      <c r="B340" s="5">
        <v>66.17</v>
      </c>
      <c r="C340" s="1">
        <f t="shared" si="10"/>
        <v>6.3675169660942508E-3</v>
      </c>
      <c r="D340" s="1">
        <f t="shared" si="9"/>
        <v>0.51690684065330228</v>
      </c>
    </row>
    <row r="341" spans="1:4" x14ac:dyDescent="0.2">
      <c r="A341" s="4">
        <v>38833</v>
      </c>
      <c r="B341" s="5">
        <v>68.150000000000006</v>
      </c>
      <c r="C341" s="1">
        <f t="shared" si="10"/>
        <v>2.9483970118573587E-2</v>
      </c>
      <c r="D341" s="1">
        <f t="shared" si="9"/>
        <v>0.5116175115962569</v>
      </c>
    </row>
    <row r="342" spans="1:4" x14ac:dyDescent="0.2">
      <c r="A342" s="4">
        <v>38834</v>
      </c>
      <c r="B342" s="5">
        <v>69.36</v>
      </c>
      <c r="C342" s="1">
        <f t="shared" si="10"/>
        <v>1.7599174329744775E-2</v>
      </c>
      <c r="D342" s="1">
        <f t="shared" si="9"/>
        <v>0.49975749472831249</v>
      </c>
    </row>
    <row r="343" spans="1:4" x14ac:dyDescent="0.2">
      <c r="A343" s="4">
        <v>38835</v>
      </c>
      <c r="B343" s="5">
        <v>70.39</v>
      </c>
      <c r="C343" s="1">
        <f t="shared" si="10"/>
        <v>1.4740875147753874E-2</v>
      </c>
      <c r="D343" s="1">
        <f t="shared" si="9"/>
        <v>0.49745023357460272</v>
      </c>
    </row>
    <row r="344" spans="1:4" x14ac:dyDescent="0.2">
      <c r="A344" s="4">
        <v>38838</v>
      </c>
      <c r="B344" s="5">
        <v>69.599999999999994</v>
      </c>
      <c r="C344" s="1">
        <f t="shared" si="10"/>
        <v>-1.1286640279666402E-2</v>
      </c>
      <c r="D344" s="1">
        <f t="shared" si="9"/>
        <v>0.49562071782678629</v>
      </c>
    </row>
    <row r="345" spans="1:4" x14ac:dyDescent="0.2">
      <c r="A345" s="4">
        <v>38839</v>
      </c>
      <c r="B345" s="5">
        <v>71.62</v>
      </c>
      <c r="C345" s="1">
        <f t="shared" si="10"/>
        <v>2.8609797229912907E-2</v>
      </c>
      <c r="D345" s="1">
        <f t="shared" si="9"/>
        <v>0.50159295975425267</v>
      </c>
    </row>
    <row r="346" spans="1:4" x14ac:dyDescent="0.2">
      <c r="A346" s="4">
        <v>38840</v>
      </c>
      <c r="B346" s="5">
        <v>71.14</v>
      </c>
      <c r="C346" s="1">
        <f t="shared" si="10"/>
        <v>-6.7245980499776054E-3</v>
      </c>
      <c r="D346" s="1">
        <f t="shared" si="9"/>
        <v>0.4996098948177588</v>
      </c>
    </row>
    <row r="347" spans="1:4" x14ac:dyDescent="0.2">
      <c r="A347" s="4">
        <v>38841</v>
      </c>
      <c r="B347" s="5">
        <v>71.13</v>
      </c>
      <c r="C347" s="1">
        <f t="shared" si="10"/>
        <v>-1.405777748854576E-4</v>
      </c>
      <c r="D347" s="1">
        <f t="shared" si="9"/>
        <v>0.4920895539612794</v>
      </c>
    </row>
    <row r="348" spans="1:4" x14ac:dyDescent="0.2">
      <c r="A348" s="4">
        <v>38842</v>
      </c>
      <c r="B348" s="5">
        <v>71.89</v>
      </c>
      <c r="C348" s="1">
        <f t="shared" si="10"/>
        <v>1.0627984250356499E-2</v>
      </c>
      <c r="D348" s="1">
        <f t="shared" si="9"/>
        <v>0.49267115059597116</v>
      </c>
    </row>
    <row r="349" spans="1:4" x14ac:dyDescent="0.2">
      <c r="A349" s="4">
        <v>38845</v>
      </c>
      <c r="B349" s="5">
        <v>71.89</v>
      </c>
      <c r="C349" s="1">
        <f t="shared" si="10"/>
        <v>0</v>
      </c>
      <c r="D349" s="1">
        <f t="shared" si="9"/>
        <v>0.49254226688371344</v>
      </c>
    </row>
    <row r="350" spans="1:4" x14ac:dyDescent="0.2">
      <c r="A350" s="4">
        <v>38846</v>
      </c>
      <c r="B350" s="5">
        <v>71.03</v>
      </c>
      <c r="C350" s="1">
        <f t="shared" si="10"/>
        <v>-1.2034849986061519E-2</v>
      </c>
      <c r="D350" s="1">
        <f t="shared" si="9"/>
        <v>0.49331301351627505</v>
      </c>
    </row>
    <row r="351" spans="1:4" x14ac:dyDescent="0.2">
      <c r="A351" s="4">
        <v>38847</v>
      </c>
      <c r="B351" s="5">
        <v>70.599999999999994</v>
      </c>
      <c r="C351" s="1">
        <f t="shared" si="10"/>
        <v>-6.0721785105222895E-3</v>
      </c>
      <c r="D351" s="1">
        <f t="shared" si="9"/>
        <v>0.4836537964617465</v>
      </c>
    </row>
    <row r="352" spans="1:4" x14ac:dyDescent="0.2">
      <c r="A352" s="4">
        <v>38848</v>
      </c>
      <c r="B352" s="5">
        <v>68.150000000000006</v>
      </c>
      <c r="C352" s="1">
        <f t="shared" si="10"/>
        <v>-3.5318986356654633E-2</v>
      </c>
      <c r="D352" s="1">
        <f t="shared" si="9"/>
        <v>0.49268248003809395</v>
      </c>
    </row>
    <row r="353" spans="1:4" x14ac:dyDescent="0.2">
      <c r="A353" s="4">
        <v>38849</v>
      </c>
      <c r="B353" s="5">
        <v>67.7</v>
      </c>
      <c r="C353" s="1">
        <f t="shared" si="10"/>
        <v>-6.6249782243123865E-3</v>
      </c>
      <c r="D353" s="1">
        <f t="shared" si="9"/>
        <v>0.49251740984777281</v>
      </c>
    </row>
    <row r="354" spans="1:4" x14ac:dyDescent="0.2">
      <c r="A354" s="4">
        <v>38852</v>
      </c>
      <c r="B354" s="5">
        <v>67.790000000000006</v>
      </c>
      <c r="C354" s="1">
        <f t="shared" si="10"/>
        <v>1.3285115246450946E-3</v>
      </c>
      <c r="D354" s="1">
        <f t="shared" si="9"/>
        <v>0.48688549091553601</v>
      </c>
    </row>
    <row r="355" spans="1:4" x14ac:dyDescent="0.2">
      <c r="A355" s="4">
        <v>38853</v>
      </c>
      <c r="B355" s="5">
        <v>64.98</v>
      </c>
      <c r="C355" s="1">
        <f t="shared" si="10"/>
        <v>-4.2335161201920012E-2</v>
      </c>
      <c r="D355" s="1">
        <f t="shared" si="9"/>
        <v>0.49190589070027607</v>
      </c>
    </row>
    <row r="356" spans="1:4" x14ac:dyDescent="0.2">
      <c r="A356" s="4">
        <v>38854</v>
      </c>
      <c r="B356" s="5">
        <v>65.260000000000005</v>
      </c>
      <c r="C356" s="1">
        <f t="shared" si="10"/>
        <v>4.2997609242202781E-3</v>
      </c>
      <c r="D356" s="1">
        <f t="shared" si="9"/>
        <v>0.49081368932048336</v>
      </c>
    </row>
    <row r="357" spans="1:4" x14ac:dyDescent="0.2">
      <c r="A357" s="4">
        <v>38855</v>
      </c>
      <c r="B357" s="5">
        <v>63.18</v>
      </c>
      <c r="C357" s="1">
        <f t="shared" si="10"/>
        <v>-3.2391495791235514E-2</v>
      </c>
      <c r="D357" s="1">
        <f t="shared" si="9"/>
        <v>0.49780305679278769</v>
      </c>
    </row>
    <row r="358" spans="1:4" x14ac:dyDescent="0.2">
      <c r="A358" s="4">
        <v>38856</v>
      </c>
      <c r="B358" s="5">
        <v>64.510000000000005</v>
      </c>
      <c r="C358" s="1">
        <f t="shared" si="10"/>
        <v>2.0832455170211307E-2</v>
      </c>
      <c r="D358" s="1">
        <f t="shared" si="9"/>
        <v>0.49592197043570924</v>
      </c>
    </row>
    <row r="359" spans="1:4" x14ac:dyDescent="0.2">
      <c r="A359" s="4">
        <v>38859</v>
      </c>
      <c r="B359" s="5">
        <v>63.38</v>
      </c>
      <c r="C359" s="1">
        <f t="shared" si="10"/>
        <v>-1.7671896281375665E-2</v>
      </c>
      <c r="D359" s="1">
        <f t="shared" si="9"/>
        <v>0.49725845674221192</v>
      </c>
    </row>
    <row r="360" spans="1:4" x14ac:dyDescent="0.2">
      <c r="A360" s="4">
        <v>38860</v>
      </c>
      <c r="B360" s="5">
        <v>63.15</v>
      </c>
      <c r="C360" s="1">
        <f t="shared" si="10"/>
        <v>-3.6355054662746272E-3</v>
      </c>
      <c r="D360" s="1">
        <f t="shared" si="9"/>
        <v>0.48580793659688576</v>
      </c>
    </row>
    <row r="361" spans="1:4" x14ac:dyDescent="0.2">
      <c r="A361" s="4">
        <v>38861</v>
      </c>
      <c r="B361" s="5">
        <v>63.34</v>
      </c>
      <c r="C361" s="1">
        <f t="shared" si="10"/>
        <v>3.0041923139937942E-3</v>
      </c>
      <c r="D361" s="1">
        <f t="shared" si="9"/>
        <v>0.48085578411714175</v>
      </c>
    </row>
    <row r="362" spans="1:4" x14ac:dyDescent="0.2">
      <c r="A362" s="4">
        <v>38862</v>
      </c>
      <c r="B362" s="5">
        <v>64.33</v>
      </c>
      <c r="C362" s="1">
        <f t="shared" si="10"/>
        <v>1.5509044312415107E-2</v>
      </c>
      <c r="D362" s="1">
        <f t="shared" si="9"/>
        <v>0.48109887397007955</v>
      </c>
    </row>
    <row r="363" spans="1:4" x14ac:dyDescent="0.2">
      <c r="A363" s="4">
        <v>38863</v>
      </c>
      <c r="B363" s="5">
        <v>63.55</v>
      </c>
      <c r="C363" s="1">
        <f t="shared" si="10"/>
        <v>-1.2199087787445936E-2</v>
      </c>
      <c r="D363" s="1">
        <f t="shared" si="9"/>
        <v>0.47562924164194964</v>
      </c>
    </row>
    <row r="364" spans="1:4" x14ac:dyDescent="0.2">
      <c r="A364" s="4">
        <v>38867</v>
      </c>
      <c r="B364" s="5">
        <v>61.22</v>
      </c>
      <c r="C364" s="1">
        <f t="shared" si="10"/>
        <v>-3.7353064118196569E-2</v>
      </c>
      <c r="D364" s="1">
        <f t="shared" si="9"/>
        <v>0.48577025037972343</v>
      </c>
    </row>
    <row r="365" spans="1:4" x14ac:dyDescent="0.2">
      <c r="A365" s="4">
        <v>38868</v>
      </c>
      <c r="B365" s="5">
        <v>59.77</v>
      </c>
      <c r="C365" s="1">
        <f t="shared" si="10"/>
        <v>-2.3970070681103572E-2</v>
      </c>
      <c r="D365" s="1">
        <f t="shared" si="9"/>
        <v>0.48907703381117607</v>
      </c>
    </row>
    <row r="366" spans="1:4" x14ac:dyDescent="0.2">
      <c r="A366" s="4">
        <v>38869</v>
      </c>
      <c r="B366" s="5">
        <v>62.17</v>
      </c>
      <c r="C366" s="1">
        <f t="shared" si="10"/>
        <v>3.9368705445083342E-2</v>
      </c>
      <c r="D366" s="1">
        <f t="shared" si="9"/>
        <v>0.49242302108010205</v>
      </c>
    </row>
    <row r="367" spans="1:4" x14ac:dyDescent="0.2">
      <c r="A367" s="4">
        <v>38870</v>
      </c>
      <c r="B367" s="5">
        <v>61.66</v>
      </c>
      <c r="C367" s="1">
        <f t="shared" si="10"/>
        <v>-8.2371458232419655E-3</v>
      </c>
      <c r="D367" s="1">
        <f t="shared" si="9"/>
        <v>0.49290218897955002</v>
      </c>
    </row>
    <row r="368" spans="1:4" x14ac:dyDescent="0.2">
      <c r="A368" s="4">
        <v>38873</v>
      </c>
      <c r="B368" s="5">
        <v>60</v>
      </c>
      <c r="C368" s="1">
        <f t="shared" si="10"/>
        <v>-2.7290860235903613E-2</v>
      </c>
      <c r="D368" s="1">
        <f t="shared" si="9"/>
        <v>0.49388435447114792</v>
      </c>
    </row>
    <row r="369" spans="1:4" x14ac:dyDescent="0.2">
      <c r="A369" s="4">
        <v>38874</v>
      </c>
      <c r="B369" s="5">
        <v>59.72</v>
      </c>
      <c r="C369" s="1">
        <f t="shared" si="10"/>
        <v>-4.6775895511110901E-3</v>
      </c>
      <c r="D369" s="1">
        <f t="shared" si="9"/>
        <v>0.49396436809105021</v>
      </c>
    </row>
    <row r="370" spans="1:4" x14ac:dyDescent="0.2">
      <c r="A370" s="4">
        <v>38875</v>
      </c>
      <c r="B370" s="5">
        <v>58.56</v>
      </c>
      <c r="C370" s="1">
        <f t="shared" si="10"/>
        <v>-1.9615103017933413E-2</v>
      </c>
      <c r="D370" s="1">
        <f t="shared" si="9"/>
        <v>0.49639489237829909</v>
      </c>
    </row>
    <row r="371" spans="1:4" x14ac:dyDescent="0.2">
      <c r="A371" s="4">
        <v>38876</v>
      </c>
      <c r="B371" s="5">
        <v>60.76</v>
      </c>
      <c r="C371" s="1">
        <f t="shared" si="10"/>
        <v>3.6879808074515893E-2</v>
      </c>
      <c r="D371" s="1">
        <f t="shared" si="9"/>
        <v>0.50501287243405579</v>
      </c>
    </row>
    <row r="372" spans="1:4" x14ac:dyDescent="0.2">
      <c r="A372" s="4">
        <v>38877</v>
      </c>
      <c r="B372" s="5">
        <v>59.24</v>
      </c>
      <c r="C372" s="1">
        <f t="shared" si="10"/>
        <v>-2.5334688327973962E-2</v>
      </c>
      <c r="D372" s="1">
        <f t="shared" si="9"/>
        <v>0.48264104439910543</v>
      </c>
    </row>
    <row r="373" spans="1:4" x14ac:dyDescent="0.2">
      <c r="A373" s="4">
        <v>38880</v>
      </c>
      <c r="B373" s="5">
        <v>57</v>
      </c>
      <c r="C373" s="1">
        <f t="shared" si="10"/>
        <v>-3.8545721565047944E-2</v>
      </c>
      <c r="D373" s="1">
        <f t="shared" si="9"/>
        <v>0.49262866498480867</v>
      </c>
    </row>
    <row r="374" spans="1:4" x14ac:dyDescent="0.2">
      <c r="A374" s="4">
        <v>38881</v>
      </c>
      <c r="B374" s="5">
        <v>58.33</v>
      </c>
      <c r="C374" s="1">
        <f t="shared" si="10"/>
        <v>2.3065272930995969E-2</v>
      </c>
      <c r="D374" s="1">
        <f t="shared" si="9"/>
        <v>0.4972281364203604</v>
      </c>
    </row>
    <row r="375" spans="1:4" x14ac:dyDescent="0.2">
      <c r="A375" s="4">
        <v>38882</v>
      </c>
      <c r="B375" s="5">
        <v>57.61</v>
      </c>
      <c r="C375" s="1">
        <f t="shared" si="10"/>
        <v>-1.2420377021254425E-2</v>
      </c>
      <c r="D375" s="1">
        <f t="shared" si="9"/>
        <v>0.49810864281314271</v>
      </c>
    </row>
    <row r="376" spans="1:4" x14ac:dyDescent="0.2">
      <c r="A376" s="4">
        <v>38883</v>
      </c>
      <c r="B376" s="5">
        <v>59.38</v>
      </c>
      <c r="C376" s="1">
        <f t="shared" si="10"/>
        <v>3.0261305591321945E-2</v>
      </c>
      <c r="D376" s="1">
        <f t="shared" si="9"/>
        <v>0.50159019175227626</v>
      </c>
    </row>
    <row r="377" spans="1:4" x14ac:dyDescent="0.2">
      <c r="A377" s="4">
        <v>38884</v>
      </c>
      <c r="B377" s="5">
        <v>57.56</v>
      </c>
      <c r="C377" s="1">
        <f t="shared" si="10"/>
        <v>-3.1129587316446643E-2</v>
      </c>
      <c r="D377" s="1">
        <f t="shared" si="9"/>
        <v>0.43510103419101287</v>
      </c>
    </row>
    <row r="378" spans="1:4" x14ac:dyDescent="0.2">
      <c r="A378" s="4">
        <v>38887</v>
      </c>
      <c r="B378" s="5">
        <v>57.2</v>
      </c>
      <c r="C378" s="1">
        <f t="shared" si="10"/>
        <v>-6.2739836334148522E-3</v>
      </c>
      <c r="D378" s="1">
        <f t="shared" si="9"/>
        <v>0.40093339186009874</v>
      </c>
    </row>
    <row r="379" spans="1:4" x14ac:dyDescent="0.2">
      <c r="A379" s="4">
        <v>38888</v>
      </c>
      <c r="B379" s="5">
        <v>57.47</v>
      </c>
      <c r="C379" s="1">
        <f t="shared" si="10"/>
        <v>4.7091741338978867E-3</v>
      </c>
      <c r="D379" s="1">
        <f t="shared" si="9"/>
        <v>0.39914984248208168</v>
      </c>
    </row>
    <row r="380" spans="1:4" x14ac:dyDescent="0.2">
      <c r="A380" s="4">
        <v>38889</v>
      </c>
      <c r="B380" s="5">
        <v>57.86</v>
      </c>
      <c r="C380" s="1">
        <f t="shared" si="10"/>
        <v>6.763227028338919E-3</v>
      </c>
      <c r="D380" s="1">
        <f t="shared" si="9"/>
        <v>0.39869901425594706</v>
      </c>
    </row>
    <row r="381" spans="1:4" x14ac:dyDescent="0.2">
      <c r="A381" s="4">
        <v>38890</v>
      </c>
      <c r="B381" s="5">
        <v>59.58</v>
      </c>
      <c r="C381" s="1">
        <f t="shared" si="10"/>
        <v>2.9293647737147061E-2</v>
      </c>
      <c r="D381" s="1">
        <f t="shared" ref="D381:D444" si="11">STDEV(C332:C381)*SQRT($B$2)</f>
        <v>0.4079077777537683</v>
      </c>
    </row>
    <row r="382" spans="1:4" x14ac:dyDescent="0.2">
      <c r="A382" s="4">
        <v>38891</v>
      </c>
      <c r="B382" s="5">
        <v>58.83</v>
      </c>
      <c r="C382" s="1">
        <f t="shared" si="10"/>
        <v>-1.2668018408771648E-2</v>
      </c>
      <c r="D382" s="1">
        <f t="shared" si="11"/>
        <v>0.40637027843673557</v>
      </c>
    </row>
    <row r="383" spans="1:4" x14ac:dyDescent="0.2">
      <c r="A383" s="4">
        <v>38894</v>
      </c>
      <c r="B383" s="5">
        <v>58.99</v>
      </c>
      <c r="C383" s="1">
        <f t="shared" si="10"/>
        <v>2.7160091386194338E-3</v>
      </c>
      <c r="D383" s="1">
        <f t="shared" si="11"/>
        <v>0.4066027018951725</v>
      </c>
    </row>
    <row r="384" spans="1:4" x14ac:dyDescent="0.2">
      <c r="A384" s="4">
        <v>38895</v>
      </c>
      <c r="B384" s="5">
        <v>57.43</v>
      </c>
      <c r="C384" s="1">
        <f t="shared" si="10"/>
        <v>-2.6801123138778814E-2</v>
      </c>
      <c r="D384" s="1">
        <f t="shared" si="11"/>
        <v>0.40725636232615409</v>
      </c>
    </row>
    <row r="385" spans="1:4" x14ac:dyDescent="0.2">
      <c r="A385" s="4">
        <v>38896</v>
      </c>
      <c r="B385" s="5">
        <v>56.02</v>
      </c>
      <c r="C385" s="1">
        <f t="shared" si="10"/>
        <v>-2.4858045044242678E-2</v>
      </c>
      <c r="D385" s="1">
        <f t="shared" si="11"/>
        <v>0.40622521922528421</v>
      </c>
    </row>
    <row r="386" spans="1:4" x14ac:dyDescent="0.2">
      <c r="A386" s="4">
        <v>38897</v>
      </c>
      <c r="B386" s="5">
        <v>58.97</v>
      </c>
      <c r="C386" s="1">
        <f t="shared" si="10"/>
        <v>5.1320070180450254E-2</v>
      </c>
      <c r="D386" s="1">
        <f t="shared" si="11"/>
        <v>0.43189579453594956</v>
      </c>
    </row>
    <row r="387" spans="1:4" x14ac:dyDescent="0.2">
      <c r="A387" s="4">
        <v>38898</v>
      </c>
      <c r="B387" s="5">
        <v>57.27</v>
      </c>
      <c r="C387" s="1">
        <f t="shared" si="10"/>
        <v>-2.9251913606646758E-2</v>
      </c>
      <c r="D387" s="1">
        <f t="shared" si="11"/>
        <v>0.42886784011749385</v>
      </c>
    </row>
    <row r="388" spans="1:4" x14ac:dyDescent="0.2">
      <c r="A388" s="4">
        <v>38901</v>
      </c>
      <c r="B388" s="5">
        <v>57.95</v>
      </c>
      <c r="C388" s="1">
        <f t="shared" si="10"/>
        <v>1.1803643379994838E-2</v>
      </c>
      <c r="D388" s="1">
        <f t="shared" si="11"/>
        <v>0.43052228671726228</v>
      </c>
    </row>
    <row r="389" spans="1:4" x14ac:dyDescent="0.2">
      <c r="A389" s="4">
        <v>38903</v>
      </c>
      <c r="B389" s="5">
        <v>57</v>
      </c>
      <c r="C389" s="1">
        <f t="shared" si="10"/>
        <v>-1.6529301951210582E-2</v>
      </c>
      <c r="D389" s="1">
        <f t="shared" si="11"/>
        <v>0.42976411237703505</v>
      </c>
    </row>
    <row r="390" spans="1:4" x14ac:dyDescent="0.2">
      <c r="A390" s="4">
        <v>38904</v>
      </c>
      <c r="B390" s="5">
        <v>55.77</v>
      </c>
      <c r="C390" s="1">
        <f t="shared" si="10"/>
        <v>-2.1815177433087789E-2</v>
      </c>
      <c r="D390" s="1">
        <f t="shared" si="11"/>
        <v>0.43199840543814205</v>
      </c>
    </row>
    <row r="391" spans="1:4" x14ac:dyDescent="0.2">
      <c r="A391" s="4">
        <v>38905</v>
      </c>
      <c r="B391" s="5">
        <v>55.4</v>
      </c>
      <c r="C391" s="1">
        <f t="shared" si="10"/>
        <v>-6.6564966482242889E-3</v>
      </c>
      <c r="D391" s="1">
        <f t="shared" si="11"/>
        <v>0.42242320284992757</v>
      </c>
    </row>
    <row r="392" spans="1:4" x14ac:dyDescent="0.2">
      <c r="A392" s="4">
        <v>38908</v>
      </c>
      <c r="B392" s="5">
        <v>55</v>
      </c>
      <c r="C392" s="1">
        <f t="shared" si="10"/>
        <v>-7.2464085207671978E-3</v>
      </c>
      <c r="D392" s="1">
        <f t="shared" si="11"/>
        <v>0.4182104468183373</v>
      </c>
    </row>
    <row r="393" spans="1:4" x14ac:dyDescent="0.2">
      <c r="A393" s="4">
        <v>38909</v>
      </c>
      <c r="B393" s="5">
        <v>55.65</v>
      </c>
      <c r="C393" s="1">
        <f t="shared" si="10"/>
        <v>1.1748892489082828E-2</v>
      </c>
      <c r="D393" s="1">
        <f t="shared" si="11"/>
        <v>0.41725466557117774</v>
      </c>
    </row>
    <row r="394" spans="1:4" x14ac:dyDescent="0.2">
      <c r="A394" s="4">
        <v>38910</v>
      </c>
      <c r="B394" s="5">
        <v>52.96</v>
      </c>
      <c r="C394" s="1">
        <f t="shared" si="10"/>
        <v>-4.954516609280097E-2</v>
      </c>
      <c r="D394" s="1">
        <f t="shared" si="11"/>
        <v>0.4342132417164018</v>
      </c>
    </row>
    <row r="395" spans="1:4" x14ac:dyDescent="0.2">
      <c r="A395" s="4">
        <v>38911</v>
      </c>
      <c r="B395" s="5">
        <v>52.25</v>
      </c>
      <c r="C395" s="1">
        <f t="shared" si="10"/>
        <v>-1.3497020783832433E-2</v>
      </c>
      <c r="D395" s="1">
        <f t="shared" si="11"/>
        <v>0.42439237820905062</v>
      </c>
    </row>
    <row r="396" spans="1:4" x14ac:dyDescent="0.2">
      <c r="A396" s="4">
        <v>38912</v>
      </c>
      <c r="B396" s="5">
        <v>50.67</v>
      </c>
      <c r="C396" s="1">
        <f t="shared" ref="C396:C459" si="12">LN(B396/B395)</f>
        <v>-3.0705871357101955E-2</v>
      </c>
      <c r="D396" s="1">
        <f t="shared" si="11"/>
        <v>0.42948392106605082</v>
      </c>
    </row>
    <row r="397" spans="1:4" x14ac:dyDescent="0.2">
      <c r="A397" s="4">
        <v>38915</v>
      </c>
      <c r="B397" s="5">
        <v>52.37</v>
      </c>
      <c r="C397" s="1">
        <f t="shared" si="12"/>
        <v>3.299988880357782E-2</v>
      </c>
      <c r="D397" s="1">
        <f t="shared" si="11"/>
        <v>0.44244223124076953</v>
      </c>
    </row>
    <row r="398" spans="1:4" x14ac:dyDescent="0.2">
      <c r="A398" s="4">
        <v>38916</v>
      </c>
      <c r="B398" s="5">
        <v>52.9</v>
      </c>
      <c r="C398" s="1">
        <f t="shared" si="12"/>
        <v>1.0069430572857446E-2</v>
      </c>
      <c r="D398" s="1">
        <f t="shared" si="11"/>
        <v>0.44228724955307164</v>
      </c>
    </row>
    <row r="399" spans="1:4" x14ac:dyDescent="0.2">
      <c r="A399" s="4">
        <v>38917</v>
      </c>
      <c r="B399" s="5">
        <v>54.1</v>
      </c>
      <c r="C399" s="1">
        <f t="shared" si="12"/>
        <v>2.2430846988182134E-2</v>
      </c>
      <c r="D399" s="1">
        <f t="shared" si="11"/>
        <v>0.44871037735308339</v>
      </c>
    </row>
    <row r="400" spans="1:4" x14ac:dyDescent="0.2">
      <c r="A400" s="4">
        <v>38918</v>
      </c>
      <c r="B400" s="5">
        <v>60.5</v>
      </c>
      <c r="C400" s="1">
        <f t="shared" si="12"/>
        <v>0.1118091791843599</v>
      </c>
      <c r="D400" s="1">
        <f t="shared" si="11"/>
        <v>0.54917205397570057</v>
      </c>
    </row>
    <row r="401" spans="1:4" x14ac:dyDescent="0.2">
      <c r="A401" s="4">
        <v>38919</v>
      </c>
      <c r="B401" s="5">
        <v>60.72</v>
      </c>
      <c r="C401" s="1">
        <f t="shared" si="12"/>
        <v>3.6297680505787311E-3</v>
      </c>
      <c r="D401" s="1">
        <f t="shared" si="11"/>
        <v>0.54942084226997767</v>
      </c>
    </row>
    <row r="402" spans="1:4" x14ac:dyDescent="0.2">
      <c r="A402" s="4">
        <v>38922</v>
      </c>
      <c r="B402" s="5">
        <v>61.42</v>
      </c>
      <c r="C402" s="1">
        <f t="shared" si="12"/>
        <v>1.1462381925301794E-2</v>
      </c>
      <c r="D402" s="1">
        <f t="shared" si="11"/>
        <v>0.5434383312442187</v>
      </c>
    </row>
    <row r="403" spans="1:4" x14ac:dyDescent="0.2">
      <c r="A403" s="4">
        <v>38923</v>
      </c>
      <c r="B403" s="5">
        <v>61.93</v>
      </c>
      <c r="C403" s="1">
        <f t="shared" si="12"/>
        <v>8.2691999372931733E-3</v>
      </c>
      <c r="D403" s="1">
        <f t="shared" si="11"/>
        <v>0.54400001868443815</v>
      </c>
    </row>
    <row r="404" spans="1:4" x14ac:dyDescent="0.2">
      <c r="A404" s="4">
        <v>38924</v>
      </c>
      <c r="B404" s="5">
        <v>63.87</v>
      </c>
      <c r="C404" s="1">
        <f t="shared" si="12"/>
        <v>3.0845052623528137E-2</v>
      </c>
      <c r="D404" s="1">
        <f t="shared" si="11"/>
        <v>0.55105681482131819</v>
      </c>
    </row>
    <row r="405" spans="1:4" x14ac:dyDescent="0.2">
      <c r="A405" s="4">
        <v>38925</v>
      </c>
      <c r="B405" s="5">
        <v>63.4</v>
      </c>
      <c r="C405" s="1">
        <f t="shared" si="12"/>
        <v>-7.38590613031754E-3</v>
      </c>
      <c r="D405" s="1">
        <f t="shared" si="11"/>
        <v>0.53959032638412596</v>
      </c>
    </row>
    <row r="406" spans="1:4" x14ac:dyDescent="0.2">
      <c r="A406" s="4">
        <v>38926</v>
      </c>
      <c r="B406" s="5">
        <v>65.59</v>
      </c>
      <c r="C406" s="1">
        <f t="shared" si="12"/>
        <v>3.3959383862463936E-2</v>
      </c>
      <c r="D406" s="1">
        <f t="shared" si="11"/>
        <v>0.54744583705092908</v>
      </c>
    </row>
    <row r="407" spans="1:4" x14ac:dyDescent="0.2">
      <c r="A407" s="4">
        <v>38929</v>
      </c>
      <c r="B407" s="5">
        <v>67.959999999999994</v>
      </c>
      <c r="C407" s="1">
        <f t="shared" si="12"/>
        <v>3.5496051498087093E-2</v>
      </c>
      <c r="D407" s="1">
        <f t="shared" si="11"/>
        <v>0.54815897664981439</v>
      </c>
    </row>
    <row r="408" spans="1:4" x14ac:dyDescent="0.2">
      <c r="A408" s="4">
        <v>38930</v>
      </c>
      <c r="B408" s="5">
        <v>67.180000000000007</v>
      </c>
      <c r="C408" s="1">
        <f t="shared" si="12"/>
        <v>-1.154371261958435E-2</v>
      </c>
      <c r="D408" s="1">
        <f t="shared" si="11"/>
        <v>0.5466127460646798</v>
      </c>
    </row>
    <row r="409" spans="1:4" x14ac:dyDescent="0.2">
      <c r="A409" s="4">
        <v>38931</v>
      </c>
      <c r="B409" s="5">
        <v>68.16</v>
      </c>
      <c r="C409" s="1">
        <f t="shared" si="12"/>
        <v>1.4482298336913347E-2</v>
      </c>
      <c r="D409" s="1">
        <f t="shared" si="11"/>
        <v>0.54541631788557376</v>
      </c>
    </row>
    <row r="410" spans="1:4" x14ac:dyDescent="0.2">
      <c r="A410" s="4">
        <v>38932</v>
      </c>
      <c r="B410" s="5">
        <v>69.59</v>
      </c>
      <c r="C410" s="1">
        <f t="shared" si="12"/>
        <v>2.0762996335698562E-2</v>
      </c>
      <c r="D410" s="1">
        <f t="shared" si="11"/>
        <v>0.54769928909353571</v>
      </c>
    </row>
    <row r="411" spans="1:4" x14ac:dyDescent="0.2">
      <c r="A411" s="4">
        <v>38933</v>
      </c>
      <c r="B411" s="5">
        <v>68.3</v>
      </c>
      <c r="C411" s="1">
        <f t="shared" si="12"/>
        <v>-1.8711112280014392E-2</v>
      </c>
      <c r="D411" s="1">
        <f t="shared" si="11"/>
        <v>0.55052091418325211</v>
      </c>
    </row>
    <row r="412" spans="1:4" x14ac:dyDescent="0.2">
      <c r="A412" s="4">
        <v>38936</v>
      </c>
      <c r="B412" s="5">
        <v>67.209999999999994</v>
      </c>
      <c r="C412" s="1">
        <f t="shared" si="12"/>
        <v>-1.6087720594869973E-2</v>
      </c>
      <c r="D412" s="1">
        <f t="shared" si="11"/>
        <v>0.55115381702336819</v>
      </c>
    </row>
    <row r="413" spans="1:4" x14ac:dyDescent="0.2">
      <c r="A413" s="4">
        <v>38937</v>
      </c>
      <c r="B413" s="5">
        <v>64.78</v>
      </c>
      <c r="C413" s="1">
        <f t="shared" si="12"/>
        <v>-3.6825132238691147E-2</v>
      </c>
      <c r="D413" s="1">
        <f t="shared" si="11"/>
        <v>0.55945910213832206</v>
      </c>
    </row>
    <row r="414" spans="1:4" x14ac:dyDescent="0.2">
      <c r="A414" s="4">
        <v>38938</v>
      </c>
      <c r="B414" s="5">
        <v>63.59</v>
      </c>
      <c r="C414" s="1">
        <f t="shared" si="12"/>
        <v>-1.8540688463866774E-2</v>
      </c>
      <c r="D414" s="1">
        <f t="shared" si="11"/>
        <v>0.55226963468529255</v>
      </c>
    </row>
    <row r="415" spans="1:4" x14ac:dyDescent="0.2">
      <c r="A415" s="4">
        <v>38939</v>
      </c>
      <c r="B415" s="5">
        <v>64.069999999999993</v>
      </c>
      <c r="C415" s="1">
        <f t="shared" si="12"/>
        <v>7.5200103716135886E-3</v>
      </c>
      <c r="D415" s="1">
        <f t="shared" si="11"/>
        <v>0.54830553988791053</v>
      </c>
    </row>
    <row r="416" spans="1:4" x14ac:dyDescent="0.2">
      <c r="A416" s="4">
        <v>38940</v>
      </c>
      <c r="B416" s="5">
        <v>63.65</v>
      </c>
      <c r="C416" s="1">
        <f t="shared" si="12"/>
        <v>-6.576910647514562E-3</v>
      </c>
      <c r="D416" s="1">
        <f t="shared" si="11"/>
        <v>0.53856533080936353</v>
      </c>
    </row>
    <row r="417" spans="1:4" x14ac:dyDescent="0.2">
      <c r="A417" s="4">
        <v>38943</v>
      </c>
      <c r="B417" s="5">
        <v>63.94</v>
      </c>
      <c r="C417" s="1">
        <f t="shared" si="12"/>
        <v>4.5458186282798345E-3</v>
      </c>
      <c r="D417" s="1">
        <f t="shared" si="11"/>
        <v>0.53813304543003404</v>
      </c>
    </row>
    <row r="418" spans="1:4" x14ac:dyDescent="0.2">
      <c r="A418" s="4">
        <v>38944</v>
      </c>
      <c r="B418" s="5">
        <v>66.45</v>
      </c>
      <c r="C418" s="1">
        <f t="shared" si="12"/>
        <v>3.8504641527559121E-2</v>
      </c>
      <c r="D418" s="1">
        <f t="shared" si="11"/>
        <v>0.54196529822197792</v>
      </c>
    </row>
    <row r="419" spans="1:4" x14ac:dyDescent="0.2">
      <c r="A419" s="4">
        <v>38945</v>
      </c>
      <c r="B419" s="5">
        <v>67.98</v>
      </c>
      <c r="C419" s="1">
        <f t="shared" si="12"/>
        <v>2.276375910871558E-2</v>
      </c>
      <c r="D419" s="1">
        <f t="shared" si="11"/>
        <v>0.54449640967633028</v>
      </c>
    </row>
    <row r="420" spans="1:4" x14ac:dyDescent="0.2">
      <c r="A420" s="4">
        <v>38946</v>
      </c>
      <c r="B420" s="5">
        <v>67.59</v>
      </c>
      <c r="C420" s="1">
        <f t="shared" si="12"/>
        <v>-5.7535011557071757E-3</v>
      </c>
      <c r="D420" s="1">
        <f t="shared" si="11"/>
        <v>0.54156553857803857</v>
      </c>
    </row>
    <row r="421" spans="1:4" x14ac:dyDescent="0.2">
      <c r="A421" s="4">
        <v>38947</v>
      </c>
      <c r="B421" s="5">
        <v>67.91</v>
      </c>
      <c r="C421" s="1">
        <f t="shared" si="12"/>
        <v>4.723256013437256E-3</v>
      </c>
      <c r="D421" s="1">
        <f t="shared" si="11"/>
        <v>0.53343031040739475</v>
      </c>
    </row>
    <row r="422" spans="1:4" x14ac:dyDescent="0.2">
      <c r="A422" s="4">
        <v>38950</v>
      </c>
      <c r="B422" s="5">
        <v>66.56</v>
      </c>
      <c r="C422" s="1">
        <f t="shared" si="12"/>
        <v>-2.0079502612746845E-2</v>
      </c>
      <c r="D422" s="1">
        <f t="shared" si="11"/>
        <v>0.53159364833460865</v>
      </c>
    </row>
    <row r="423" spans="1:4" x14ac:dyDescent="0.2">
      <c r="A423" s="4">
        <v>38951</v>
      </c>
      <c r="B423" s="5">
        <v>67.62</v>
      </c>
      <c r="C423" s="1">
        <f t="shared" si="12"/>
        <v>1.5800000766786847E-2</v>
      </c>
      <c r="D423" s="1">
        <f t="shared" si="11"/>
        <v>0.52063163858251404</v>
      </c>
    </row>
    <row r="424" spans="1:4" x14ac:dyDescent="0.2">
      <c r="A424" s="4">
        <v>38952</v>
      </c>
      <c r="B424" s="5">
        <v>67.31</v>
      </c>
      <c r="C424" s="1">
        <f t="shared" si="12"/>
        <v>-4.59498325711819E-3</v>
      </c>
      <c r="D424" s="1">
        <f t="shared" si="11"/>
        <v>0.51821404081321787</v>
      </c>
    </row>
    <row r="425" spans="1:4" x14ac:dyDescent="0.2">
      <c r="A425" s="4">
        <v>38953</v>
      </c>
      <c r="B425" s="5">
        <v>67.81</v>
      </c>
      <c r="C425" s="1">
        <f t="shared" si="12"/>
        <v>7.4008626731289946E-3</v>
      </c>
      <c r="D425" s="1">
        <f t="shared" si="11"/>
        <v>0.5166240967008463</v>
      </c>
    </row>
    <row r="426" spans="1:4" x14ac:dyDescent="0.2">
      <c r="A426" s="4">
        <v>38954</v>
      </c>
      <c r="B426" s="5">
        <v>68.75</v>
      </c>
      <c r="C426" s="1">
        <f t="shared" si="12"/>
        <v>1.3767059850929797E-2</v>
      </c>
      <c r="D426" s="1">
        <f t="shared" si="11"/>
        <v>0.51210498506161484</v>
      </c>
    </row>
    <row r="427" spans="1:4" x14ac:dyDescent="0.2">
      <c r="A427" s="4">
        <v>38957</v>
      </c>
      <c r="B427" s="5">
        <v>66.98</v>
      </c>
      <c r="C427" s="1">
        <f t="shared" si="12"/>
        <v>-2.6082669180622117E-2</v>
      </c>
      <c r="D427" s="1">
        <f t="shared" si="11"/>
        <v>0.50978086371885734</v>
      </c>
    </row>
    <row r="428" spans="1:4" x14ac:dyDescent="0.2">
      <c r="A428" s="4">
        <v>38958</v>
      </c>
      <c r="B428" s="5">
        <v>66.48</v>
      </c>
      <c r="C428" s="1">
        <f t="shared" si="12"/>
        <v>-7.4929168188657795E-3</v>
      </c>
      <c r="D428" s="1">
        <f t="shared" si="11"/>
        <v>0.50995721012264583</v>
      </c>
    </row>
    <row r="429" spans="1:4" x14ac:dyDescent="0.2">
      <c r="A429" s="4">
        <v>38959</v>
      </c>
      <c r="B429" s="5">
        <v>66.959999999999994</v>
      </c>
      <c r="C429" s="1">
        <f t="shared" si="12"/>
        <v>7.1942756340270106E-3</v>
      </c>
      <c r="D429" s="1">
        <f t="shared" si="11"/>
        <v>0.5100631926613437</v>
      </c>
    </row>
    <row r="430" spans="1:4" x14ac:dyDescent="0.2">
      <c r="A430" s="4">
        <v>38960</v>
      </c>
      <c r="B430" s="5">
        <v>67.849999999999994</v>
      </c>
      <c r="C430" s="1">
        <f t="shared" si="12"/>
        <v>1.3203960099658196E-2</v>
      </c>
      <c r="D430" s="1">
        <f t="shared" si="11"/>
        <v>0.51070827981321498</v>
      </c>
    </row>
    <row r="431" spans="1:4" x14ac:dyDescent="0.2">
      <c r="A431" s="4">
        <v>38961</v>
      </c>
      <c r="B431" s="5">
        <v>68.38</v>
      </c>
      <c r="C431" s="1">
        <f t="shared" si="12"/>
        <v>7.7809979302771405E-3</v>
      </c>
      <c r="D431" s="1">
        <f t="shared" si="11"/>
        <v>0.50580016996571131</v>
      </c>
    </row>
    <row r="432" spans="1:4" x14ac:dyDescent="0.2">
      <c r="A432" s="4">
        <v>38965</v>
      </c>
      <c r="B432" s="5">
        <v>71.48</v>
      </c>
      <c r="C432" s="1">
        <f t="shared" si="12"/>
        <v>4.4337306080072164E-2</v>
      </c>
      <c r="D432" s="1">
        <f t="shared" si="11"/>
        <v>0.51619527997249703</v>
      </c>
    </row>
    <row r="433" spans="1:4" x14ac:dyDescent="0.2">
      <c r="A433" s="4">
        <v>38966</v>
      </c>
      <c r="B433" s="5">
        <v>70.03</v>
      </c>
      <c r="C433" s="1">
        <f t="shared" si="12"/>
        <v>-2.0493968623800991E-2</v>
      </c>
      <c r="D433" s="1">
        <f t="shared" si="11"/>
        <v>0.52038243768858827</v>
      </c>
    </row>
    <row r="434" spans="1:4" x14ac:dyDescent="0.2">
      <c r="A434" s="4">
        <v>38967</v>
      </c>
      <c r="B434" s="5">
        <v>72.8</v>
      </c>
      <c r="C434" s="1">
        <f t="shared" si="12"/>
        <v>3.8792233535213917E-2</v>
      </c>
      <c r="D434" s="1">
        <f t="shared" si="11"/>
        <v>0.5221713197064437</v>
      </c>
    </row>
    <row r="435" spans="1:4" x14ac:dyDescent="0.2">
      <c r="A435" s="4">
        <v>38968</v>
      </c>
      <c r="B435" s="5">
        <v>72.52</v>
      </c>
      <c r="C435" s="1">
        <f t="shared" si="12"/>
        <v>-3.8535693159899662E-3</v>
      </c>
      <c r="D435" s="1">
        <f t="shared" si="11"/>
        <v>0.51635326352808564</v>
      </c>
    </row>
    <row r="436" spans="1:4" x14ac:dyDescent="0.2">
      <c r="A436" s="4">
        <v>38971</v>
      </c>
      <c r="B436" s="5">
        <v>72.5</v>
      </c>
      <c r="C436" s="1">
        <f t="shared" si="12"/>
        <v>-2.7582402602111726E-4</v>
      </c>
      <c r="D436" s="1">
        <f t="shared" si="11"/>
        <v>0.5005742956320387</v>
      </c>
    </row>
    <row r="437" spans="1:4" x14ac:dyDescent="0.2">
      <c r="A437" s="4">
        <v>38972</v>
      </c>
      <c r="B437" s="5">
        <v>72.63</v>
      </c>
      <c r="C437" s="1">
        <f t="shared" si="12"/>
        <v>1.7914977574477369E-3</v>
      </c>
      <c r="D437" s="1">
        <f t="shared" si="11"/>
        <v>0.492108189180953</v>
      </c>
    </row>
    <row r="438" spans="1:4" x14ac:dyDescent="0.2">
      <c r="A438" s="4">
        <v>38973</v>
      </c>
      <c r="B438" s="5">
        <v>74.2</v>
      </c>
      <c r="C438" s="1">
        <f t="shared" si="12"/>
        <v>2.1386090555258024E-2</v>
      </c>
      <c r="D438" s="1">
        <f t="shared" si="11"/>
        <v>0.49380913475695692</v>
      </c>
    </row>
    <row r="439" spans="1:4" x14ac:dyDescent="0.2">
      <c r="A439" s="4">
        <v>38974</v>
      </c>
      <c r="B439" s="5">
        <v>74.17</v>
      </c>
      <c r="C439" s="1">
        <f t="shared" si="12"/>
        <v>-4.0439442486808497E-4</v>
      </c>
      <c r="D439" s="1">
        <f t="shared" si="11"/>
        <v>0.49049682952127305</v>
      </c>
    </row>
    <row r="440" spans="1:4" x14ac:dyDescent="0.2">
      <c r="A440" s="4">
        <v>38975</v>
      </c>
      <c r="B440" s="5">
        <v>74.099999999999994</v>
      </c>
      <c r="C440" s="1">
        <f t="shared" si="12"/>
        <v>-9.4422344642565437E-4</v>
      </c>
      <c r="D440" s="1">
        <f t="shared" si="11"/>
        <v>0.48512520797619552</v>
      </c>
    </row>
    <row r="441" spans="1:4" x14ac:dyDescent="0.2">
      <c r="A441" s="4">
        <v>38978</v>
      </c>
      <c r="B441" s="5">
        <v>73.89</v>
      </c>
      <c r="C441" s="1">
        <f t="shared" si="12"/>
        <v>-2.8380315014849161E-3</v>
      </c>
      <c r="D441" s="1">
        <f t="shared" si="11"/>
        <v>0.48451100269914682</v>
      </c>
    </row>
    <row r="442" spans="1:4" x14ac:dyDescent="0.2">
      <c r="A442" s="4">
        <v>38979</v>
      </c>
      <c r="B442" s="5">
        <v>73.77</v>
      </c>
      <c r="C442" s="1">
        <f t="shared" si="12"/>
        <v>-1.6253559043454249E-3</v>
      </c>
      <c r="D442" s="1">
        <f t="shared" si="11"/>
        <v>0.48362421601252809</v>
      </c>
    </row>
    <row r="443" spans="1:4" x14ac:dyDescent="0.2">
      <c r="A443" s="4">
        <v>38980</v>
      </c>
      <c r="B443" s="5">
        <v>75.260000000000005</v>
      </c>
      <c r="C443" s="1">
        <f t="shared" si="12"/>
        <v>1.9996640269080369E-2</v>
      </c>
      <c r="D443" s="1">
        <f t="shared" si="11"/>
        <v>0.48488250287979362</v>
      </c>
    </row>
    <row r="444" spans="1:4" x14ac:dyDescent="0.2">
      <c r="A444" s="4">
        <v>38981</v>
      </c>
      <c r="B444" s="5">
        <v>74.650000000000006</v>
      </c>
      <c r="C444" s="1">
        <f t="shared" si="12"/>
        <v>-8.1382611800918242E-3</v>
      </c>
      <c r="D444" s="1">
        <f t="shared" si="11"/>
        <v>0.46188687022395114</v>
      </c>
    </row>
    <row r="445" spans="1:4" x14ac:dyDescent="0.2">
      <c r="A445" s="4">
        <v>38982</v>
      </c>
      <c r="B445" s="5">
        <v>73</v>
      </c>
      <c r="C445" s="1">
        <f t="shared" si="12"/>
        <v>-2.2351082836808357E-2</v>
      </c>
      <c r="D445" s="1">
        <f t="shared" ref="D445:D508" si="13">STDEV(C396:C445)*SQRT($B$2)</f>
        <v>0.46540060673390793</v>
      </c>
    </row>
    <row r="446" spans="1:4" x14ac:dyDescent="0.2">
      <c r="A446" s="4">
        <v>38985</v>
      </c>
      <c r="B446" s="5">
        <v>75.75</v>
      </c>
      <c r="C446" s="1">
        <f t="shared" si="12"/>
        <v>3.6979003241087431E-2</v>
      </c>
      <c r="D446" s="1">
        <f t="shared" si="13"/>
        <v>0.46079677922326862</v>
      </c>
    </row>
    <row r="447" spans="1:4" x14ac:dyDescent="0.2">
      <c r="A447" s="4">
        <v>38986</v>
      </c>
      <c r="B447" s="5">
        <v>77.61</v>
      </c>
      <c r="C447" s="1">
        <f t="shared" si="12"/>
        <v>2.4257840476568954E-2</v>
      </c>
      <c r="D447" s="1">
        <f t="shared" si="13"/>
        <v>0.4578658009519988</v>
      </c>
    </row>
    <row r="448" spans="1:4" x14ac:dyDescent="0.2">
      <c r="A448" s="4">
        <v>38987</v>
      </c>
      <c r="B448" s="5">
        <v>76.41</v>
      </c>
      <c r="C448" s="1">
        <f t="shared" si="12"/>
        <v>-1.5582707206572123E-2</v>
      </c>
      <c r="D448" s="1">
        <f t="shared" si="13"/>
        <v>0.46217218691450318</v>
      </c>
    </row>
    <row r="449" spans="1:4" x14ac:dyDescent="0.2">
      <c r="A449" s="4">
        <v>38988</v>
      </c>
      <c r="B449" s="5">
        <v>77.010000000000005</v>
      </c>
      <c r="C449" s="1">
        <f t="shared" si="12"/>
        <v>7.8217058916835308E-3</v>
      </c>
      <c r="D449" s="1">
        <f t="shared" si="13"/>
        <v>0.46030399820806966</v>
      </c>
    </row>
    <row r="450" spans="1:4" x14ac:dyDescent="0.2">
      <c r="A450" s="4">
        <v>38989</v>
      </c>
      <c r="B450" s="5">
        <v>76.98</v>
      </c>
      <c r="C450" s="1">
        <f t="shared" si="12"/>
        <v>-3.8963569555870649E-4</v>
      </c>
      <c r="D450" s="1">
        <f t="shared" si="13"/>
        <v>0.3587310876640446</v>
      </c>
    </row>
    <row r="451" spans="1:4" x14ac:dyDescent="0.2">
      <c r="A451" s="4">
        <v>38992</v>
      </c>
      <c r="B451" s="5">
        <v>74.86</v>
      </c>
      <c r="C451" s="1">
        <f t="shared" si="12"/>
        <v>-2.7925945379317245E-2</v>
      </c>
      <c r="D451" s="1">
        <f t="shared" si="13"/>
        <v>0.36948029922723863</v>
      </c>
    </row>
    <row r="452" spans="1:4" x14ac:dyDescent="0.2">
      <c r="A452" s="4">
        <v>38993</v>
      </c>
      <c r="B452" s="5">
        <v>74.08</v>
      </c>
      <c r="C452" s="1">
        <f t="shared" si="12"/>
        <v>-1.0474112138358948E-2</v>
      </c>
      <c r="D452" s="1">
        <f t="shared" si="13"/>
        <v>0.37101326146922375</v>
      </c>
    </row>
    <row r="453" spans="1:4" x14ac:dyDescent="0.2">
      <c r="A453" s="4">
        <v>38994</v>
      </c>
      <c r="B453" s="5">
        <v>75.38</v>
      </c>
      <c r="C453" s="1">
        <f t="shared" si="12"/>
        <v>1.7396397501065378E-2</v>
      </c>
      <c r="D453" s="1">
        <f t="shared" si="13"/>
        <v>0.37265764734571427</v>
      </c>
    </row>
    <row r="454" spans="1:4" x14ac:dyDescent="0.2">
      <c r="A454" s="4">
        <v>38995</v>
      </c>
      <c r="B454" s="5">
        <v>74.83</v>
      </c>
      <c r="C454" s="1">
        <f t="shared" si="12"/>
        <v>-7.3231137467222249E-3</v>
      </c>
      <c r="D454" s="1">
        <f t="shared" si="13"/>
        <v>0.36633892014164643</v>
      </c>
    </row>
    <row r="455" spans="1:4" x14ac:dyDescent="0.2">
      <c r="A455" s="4">
        <v>38996</v>
      </c>
      <c r="B455" s="5">
        <v>74.22</v>
      </c>
      <c r="C455" s="1">
        <f t="shared" si="12"/>
        <v>-8.1852184598155825E-3</v>
      </c>
      <c r="D455" s="1">
        <f t="shared" si="13"/>
        <v>0.36651676391533705</v>
      </c>
    </row>
    <row r="456" spans="1:4" x14ac:dyDescent="0.2">
      <c r="A456" s="4">
        <v>38999</v>
      </c>
      <c r="B456" s="5">
        <v>74.63</v>
      </c>
      <c r="C456" s="1">
        <f t="shared" si="12"/>
        <v>5.508915510844389E-3</v>
      </c>
      <c r="D456" s="1">
        <f t="shared" si="13"/>
        <v>0.35663045953054373</v>
      </c>
    </row>
    <row r="457" spans="1:4" x14ac:dyDescent="0.2">
      <c r="A457" s="4">
        <v>39000</v>
      </c>
      <c r="B457" s="5">
        <v>73.81</v>
      </c>
      <c r="C457" s="1">
        <f t="shared" si="12"/>
        <v>-1.1048347361335044E-2</v>
      </c>
      <c r="D457" s="1">
        <f t="shared" si="13"/>
        <v>0.34666552507509324</v>
      </c>
    </row>
    <row r="458" spans="1:4" x14ac:dyDescent="0.2">
      <c r="A458" s="4">
        <v>39001</v>
      </c>
      <c r="B458" s="5">
        <v>73.23</v>
      </c>
      <c r="C458" s="1">
        <f t="shared" si="12"/>
        <v>-7.8890507089825462E-3</v>
      </c>
      <c r="D458" s="1">
        <f t="shared" si="13"/>
        <v>0.34576878026079283</v>
      </c>
    </row>
    <row r="459" spans="1:4" x14ac:dyDescent="0.2">
      <c r="A459" s="4">
        <v>39002</v>
      </c>
      <c r="B459" s="5">
        <v>75.260000000000005</v>
      </c>
      <c r="C459" s="1">
        <f t="shared" si="12"/>
        <v>2.7343612092312911E-2</v>
      </c>
      <c r="D459" s="1">
        <f t="shared" si="13"/>
        <v>0.35101002438440804</v>
      </c>
    </row>
    <row r="460" spans="1:4" x14ac:dyDescent="0.2">
      <c r="A460" s="4">
        <v>39003</v>
      </c>
      <c r="B460" s="5">
        <v>75.02</v>
      </c>
      <c r="C460" s="1">
        <f t="shared" ref="C460:C523" si="14">LN(B460/B459)</f>
        <v>-3.1940405115500055E-3</v>
      </c>
      <c r="D460" s="1">
        <f t="shared" si="13"/>
        <v>0.34741126649489118</v>
      </c>
    </row>
    <row r="461" spans="1:4" x14ac:dyDescent="0.2">
      <c r="A461" s="4">
        <v>39006</v>
      </c>
      <c r="B461" s="5">
        <v>75.400000000000006</v>
      </c>
      <c r="C461" s="1">
        <f t="shared" si="14"/>
        <v>5.0525303601691891E-3</v>
      </c>
      <c r="D461" s="1">
        <f t="shared" si="13"/>
        <v>0.34301704452747112</v>
      </c>
    </row>
    <row r="462" spans="1:4" x14ac:dyDescent="0.2">
      <c r="A462" s="4">
        <v>39007</v>
      </c>
      <c r="B462" s="5">
        <v>74.290000000000006</v>
      </c>
      <c r="C462" s="1">
        <f t="shared" si="14"/>
        <v>-1.4830921850195543E-2</v>
      </c>
      <c r="D462" s="1">
        <f t="shared" si="13"/>
        <v>0.34254045986365927</v>
      </c>
    </row>
    <row r="463" spans="1:4" x14ac:dyDescent="0.2">
      <c r="A463" s="4">
        <v>39008</v>
      </c>
      <c r="B463" s="5">
        <v>74.53</v>
      </c>
      <c r="C463" s="1">
        <f t="shared" si="14"/>
        <v>3.2253757298875449E-3</v>
      </c>
      <c r="D463" s="1">
        <f t="shared" si="13"/>
        <v>0.32538564275920168</v>
      </c>
    </row>
    <row r="464" spans="1:4" x14ac:dyDescent="0.2">
      <c r="A464" s="4">
        <v>39009</v>
      </c>
      <c r="B464" s="5">
        <v>78.989999999999995</v>
      </c>
      <c r="C464" s="1">
        <f t="shared" si="14"/>
        <v>5.811953328272515E-2</v>
      </c>
      <c r="D464" s="1">
        <f t="shared" si="13"/>
        <v>0.35270229734623149</v>
      </c>
    </row>
    <row r="465" spans="1:4" x14ac:dyDescent="0.2">
      <c r="A465" s="4">
        <v>39010</v>
      </c>
      <c r="B465" s="5">
        <v>79.95</v>
      </c>
      <c r="C465" s="1">
        <f t="shared" si="14"/>
        <v>1.2080177103635696E-2</v>
      </c>
      <c r="D465" s="1">
        <f t="shared" si="13"/>
        <v>0.35322363913570892</v>
      </c>
    </row>
    <row r="466" spans="1:4" x14ac:dyDescent="0.2">
      <c r="A466" s="4">
        <v>39013</v>
      </c>
      <c r="B466" s="5">
        <v>81.459999999999994</v>
      </c>
      <c r="C466" s="1">
        <f t="shared" si="14"/>
        <v>1.8710662940303137E-2</v>
      </c>
      <c r="D466" s="1">
        <f t="shared" si="13"/>
        <v>0.35396172359100603</v>
      </c>
    </row>
    <row r="467" spans="1:4" x14ac:dyDescent="0.2">
      <c r="A467" s="4">
        <v>39014</v>
      </c>
      <c r="B467" s="5">
        <v>81.05</v>
      </c>
      <c r="C467" s="1">
        <f t="shared" si="14"/>
        <v>-5.0458540385813705E-3</v>
      </c>
      <c r="D467" s="1">
        <f t="shared" si="13"/>
        <v>0.35498733686063999</v>
      </c>
    </row>
    <row r="468" spans="1:4" x14ac:dyDescent="0.2">
      <c r="A468" s="4">
        <v>39015</v>
      </c>
      <c r="B468" s="5">
        <v>81.680000000000007</v>
      </c>
      <c r="C468" s="1">
        <f t="shared" si="14"/>
        <v>7.7429256747251953E-3</v>
      </c>
      <c r="D468" s="1">
        <f t="shared" si="13"/>
        <v>0.34271139073772156</v>
      </c>
    </row>
    <row r="469" spans="1:4" x14ac:dyDescent="0.2">
      <c r="A469" s="4">
        <v>39016</v>
      </c>
      <c r="B469" s="5">
        <v>82.19</v>
      </c>
      <c r="C469" s="1">
        <f t="shared" si="14"/>
        <v>6.2244663039984025E-3</v>
      </c>
      <c r="D469" s="1">
        <f t="shared" si="13"/>
        <v>0.33890399262836884</v>
      </c>
    </row>
    <row r="470" spans="1:4" x14ac:dyDescent="0.2">
      <c r="A470" s="4">
        <v>39017</v>
      </c>
      <c r="B470" s="5">
        <v>80.41</v>
      </c>
      <c r="C470" s="1">
        <f t="shared" si="14"/>
        <v>-2.1895093600350968E-2</v>
      </c>
      <c r="D470" s="1">
        <f t="shared" si="13"/>
        <v>0.34504270541484483</v>
      </c>
    </row>
    <row r="471" spans="1:4" x14ac:dyDescent="0.2">
      <c r="A471" s="4">
        <v>39020</v>
      </c>
      <c r="B471" s="5">
        <v>80.42</v>
      </c>
      <c r="C471" s="1">
        <f t="shared" si="14"/>
        <v>1.2435490907042779E-4</v>
      </c>
      <c r="D471" s="1">
        <f t="shared" si="13"/>
        <v>0.34514234959372508</v>
      </c>
    </row>
    <row r="472" spans="1:4" x14ac:dyDescent="0.2">
      <c r="A472" s="4">
        <v>39021</v>
      </c>
      <c r="B472" s="5">
        <v>81.08</v>
      </c>
      <c r="C472" s="1">
        <f t="shared" si="14"/>
        <v>8.1734201146713113E-3</v>
      </c>
      <c r="D472" s="1">
        <f t="shared" si="13"/>
        <v>0.33922746505832441</v>
      </c>
    </row>
    <row r="473" spans="1:4" x14ac:dyDescent="0.2">
      <c r="A473" s="4">
        <v>39022</v>
      </c>
      <c r="B473" s="5">
        <v>79.16</v>
      </c>
      <c r="C473" s="1">
        <f t="shared" si="14"/>
        <v>-2.3965200849434286E-2</v>
      </c>
      <c r="D473" s="1">
        <f t="shared" si="13"/>
        <v>0.34582710611622025</v>
      </c>
    </row>
    <row r="474" spans="1:4" x14ac:dyDescent="0.2">
      <c r="A474" s="4">
        <v>39023</v>
      </c>
      <c r="B474" s="5">
        <v>78.98</v>
      </c>
      <c r="C474" s="1">
        <f t="shared" si="14"/>
        <v>-2.2764648758615814E-3</v>
      </c>
      <c r="D474" s="1">
        <f t="shared" si="13"/>
        <v>0.3454968324186995</v>
      </c>
    </row>
    <row r="475" spans="1:4" x14ac:dyDescent="0.2">
      <c r="A475" s="4">
        <v>39024</v>
      </c>
      <c r="B475" s="5">
        <v>78.290000000000006</v>
      </c>
      <c r="C475" s="1">
        <f t="shared" si="14"/>
        <v>-8.7747749386804744E-3</v>
      </c>
      <c r="D475" s="1">
        <f t="shared" si="13"/>
        <v>0.346792768815049</v>
      </c>
    </row>
    <row r="476" spans="1:4" x14ac:dyDescent="0.2">
      <c r="A476" s="4">
        <v>39027</v>
      </c>
      <c r="B476" s="5">
        <v>79.709999999999994</v>
      </c>
      <c r="C476" s="1">
        <f t="shared" si="14"/>
        <v>1.79751675200088E-2</v>
      </c>
      <c r="D476" s="1">
        <f t="shared" si="13"/>
        <v>0.34796176717322069</v>
      </c>
    </row>
    <row r="477" spans="1:4" x14ac:dyDescent="0.2">
      <c r="A477" s="4">
        <v>39028</v>
      </c>
      <c r="B477" s="5">
        <v>80.510000000000005</v>
      </c>
      <c r="C477" s="1">
        <f t="shared" si="14"/>
        <v>9.9863518720576076E-3</v>
      </c>
      <c r="D477" s="1">
        <f t="shared" si="13"/>
        <v>0.33907103057792809</v>
      </c>
    </row>
    <row r="478" spans="1:4" x14ac:dyDescent="0.2">
      <c r="A478" s="4">
        <v>39029</v>
      </c>
      <c r="B478" s="5">
        <v>82.45</v>
      </c>
      <c r="C478" s="1">
        <f t="shared" si="14"/>
        <v>2.3810648693718607E-2</v>
      </c>
      <c r="D478" s="1">
        <f t="shared" si="13"/>
        <v>0.34192404913227925</v>
      </c>
    </row>
    <row r="479" spans="1:4" x14ac:dyDescent="0.2">
      <c r="A479" s="4">
        <v>39030</v>
      </c>
      <c r="B479" s="5">
        <v>83.34</v>
      </c>
      <c r="C479" s="1">
        <f t="shared" si="14"/>
        <v>1.0736576988699452E-2</v>
      </c>
      <c r="D479" s="1">
        <f t="shared" si="13"/>
        <v>0.34228071489557949</v>
      </c>
    </row>
    <row r="480" spans="1:4" x14ac:dyDescent="0.2">
      <c r="A480" s="4">
        <v>39031</v>
      </c>
      <c r="B480" s="5">
        <v>83.12</v>
      </c>
      <c r="C480" s="1">
        <f t="shared" si="14"/>
        <v>-2.6432792033354363E-3</v>
      </c>
      <c r="D480" s="1">
        <f t="shared" si="13"/>
        <v>0.34191420480814416</v>
      </c>
    </row>
    <row r="481" spans="1:4" x14ac:dyDescent="0.2">
      <c r="A481" s="4">
        <v>39034</v>
      </c>
      <c r="B481" s="5">
        <v>84.35</v>
      </c>
      <c r="C481" s="1">
        <f t="shared" si="14"/>
        <v>1.468946220100515E-2</v>
      </c>
      <c r="D481" s="1">
        <f t="shared" si="13"/>
        <v>0.34298211495839775</v>
      </c>
    </row>
    <row r="482" spans="1:4" x14ac:dyDescent="0.2">
      <c r="A482" s="4">
        <v>39035</v>
      </c>
      <c r="B482" s="5">
        <v>85</v>
      </c>
      <c r="C482" s="1">
        <f t="shared" si="14"/>
        <v>7.6764474983391203E-3</v>
      </c>
      <c r="D482" s="1">
        <f t="shared" si="13"/>
        <v>0.32484618150993183</v>
      </c>
    </row>
    <row r="483" spans="1:4" x14ac:dyDescent="0.2">
      <c r="A483" s="4">
        <v>39036</v>
      </c>
      <c r="B483" s="5">
        <v>84.05</v>
      </c>
      <c r="C483" s="1">
        <f t="shared" si="14"/>
        <v>-1.123939663569189E-2</v>
      </c>
      <c r="D483" s="1">
        <f t="shared" si="13"/>
        <v>0.32069765561813912</v>
      </c>
    </row>
    <row r="484" spans="1:4" x14ac:dyDescent="0.2">
      <c r="A484" s="4">
        <v>39037</v>
      </c>
      <c r="B484" s="5">
        <v>85.61</v>
      </c>
      <c r="C484" s="1">
        <f t="shared" si="14"/>
        <v>1.8390238899769807E-2</v>
      </c>
      <c r="D484" s="1">
        <f t="shared" si="13"/>
        <v>0.3085515545176542</v>
      </c>
    </row>
    <row r="485" spans="1:4" x14ac:dyDescent="0.2">
      <c r="A485" s="4">
        <v>39038</v>
      </c>
      <c r="B485" s="5">
        <v>85.85</v>
      </c>
      <c r="C485" s="1">
        <f t="shared" si="14"/>
        <v>2.7994885890902242E-3</v>
      </c>
      <c r="D485" s="1">
        <f t="shared" si="13"/>
        <v>0.30793492662481026</v>
      </c>
    </row>
    <row r="486" spans="1:4" x14ac:dyDescent="0.2">
      <c r="A486" s="4">
        <v>39041</v>
      </c>
      <c r="B486" s="5">
        <v>86.47</v>
      </c>
      <c r="C486" s="1">
        <f t="shared" si="14"/>
        <v>7.195945628854456E-3</v>
      </c>
      <c r="D486" s="1">
        <f t="shared" si="13"/>
        <v>0.30793683509714043</v>
      </c>
    </row>
    <row r="487" spans="1:4" x14ac:dyDescent="0.2">
      <c r="A487" s="4">
        <v>39042</v>
      </c>
      <c r="B487" s="5">
        <v>88.6</v>
      </c>
      <c r="C487" s="1">
        <f t="shared" si="14"/>
        <v>2.4334324638696336E-2</v>
      </c>
      <c r="D487" s="1">
        <f t="shared" si="13"/>
        <v>0.31297424897453396</v>
      </c>
    </row>
    <row r="488" spans="1:4" x14ac:dyDescent="0.2">
      <c r="A488" s="4">
        <v>39043</v>
      </c>
      <c r="B488" s="5">
        <v>90.31</v>
      </c>
      <c r="C488" s="1">
        <f t="shared" si="14"/>
        <v>1.9116338651672147E-2</v>
      </c>
      <c r="D488" s="1">
        <f t="shared" si="13"/>
        <v>0.31209251951163319</v>
      </c>
    </row>
    <row r="489" spans="1:4" x14ac:dyDescent="0.2">
      <c r="A489" s="4">
        <v>39045</v>
      </c>
      <c r="B489" s="5">
        <v>91.63</v>
      </c>
      <c r="C489" s="1">
        <f t="shared" si="14"/>
        <v>1.451053271441439E-2</v>
      </c>
      <c r="D489" s="1">
        <f t="shared" si="13"/>
        <v>0.31314952100635762</v>
      </c>
    </row>
    <row r="490" spans="1:4" x14ac:dyDescent="0.2">
      <c r="A490" s="4">
        <v>39048</v>
      </c>
      <c r="B490" s="5">
        <v>89.54</v>
      </c>
      <c r="C490" s="1">
        <f t="shared" si="14"/>
        <v>-2.3073276164302246E-2</v>
      </c>
      <c r="D490" s="1">
        <f t="shared" si="13"/>
        <v>0.32146937008479715</v>
      </c>
    </row>
    <row r="491" spans="1:4" x14ac:dyDescent="0.2">
      <c r="A491" s="4">
        <v>39049</v>
      </c>
      <c r="B491" s="5">
        <v>91.81</v>
      </c>
      <c r="C491" s="1">
        <f t="shared" si="14"/>
        <v>2.5035771342789084E-2</v>
      </c>
      <c r="D491" s="1">
        <f t="shared" si="13"/>
        <v>0.32598131674128278</v>
      </c>
    </row>
    <row r="492" spans="1:4" x14ac:dyDescent="0.2">
      <c r="A492" s="4">
        <v>39050</v>
      </c>
      <c r="B492" s="5">
        <v>91.8</v>
      </c>
      <c r="C492" s="1">
        <f t="shared" si="14"/>
        <v>-1.0892652916392442E-4</v>
      </c>
      <c r="D492" s="1">
        <f t="shared" si="13"/>
        <v>0.32580020434391582</v>
      </c>
    </row>
    <row r="493" spans="1:4" x14ac:dyDescent="0.2">
      <c r="A493" s="4">
        <v>39051</v>
      </c>
      <c r="B493" s="5">
        <v>91.66</v>
      </c>
      <c r="C493" s="1">
        <f t="shared" si="14"/>
        <v>-1.526218545466813E-3</v>
      </c>
      <c r="D493" s="1">
        <f t="shared" si="13"/>
        <v>0.32329208805154197</v>
      </c>
    </row>
    <row r="494" spans="1:4" x14ac:dyDescent="0.2">
      <c r="A494" s="4">
        <v>39052</v>
      </c>
      <c r="B494" s="5">
        <v>91.32</v>
      </c>
      <c r="C494" s="1">
        <f t="shared" si="14"/>
        <v>-3.7162574193833108E-3</v>
      </c>
      <c r="D494" s="1">
        <f t="shared" si="13"/>
        <v>0.32228036959132789</v>
      </c>
    </row>
    <row r="495" spans="1:4" x14ac:dyDescent="0.2">
      <c r="A495" s="4">
        <v>39055</v>
      </c>
      <c r="B495" s="5">
        <v>91.12</v>
      </c>
      <c r="C495" s="1">
        <f t="shared" si="14"/>
        <v>-2.1925025226679296E-3</v>
      </c>
      <c r="D495" s="1">
        <f t="shared" si="13"/>
        <v>0.31449635556504696</v>
      </c>
    </row>
    <row r="496" spans="1:4" x14ac:dyDescent="0.2">
      <c r="A496" s="4">
        <v>39056</v>
      </c>
      <c r="B496" s="5">
        <v>91.27</v>
      </c>
      <c r="C496" s="1">
        <f t="shared" si="14"/>
        <v>1.644827389859171E-3</v>
      </c>
      <c r="D496" s="1">
        <f t="shared" si="13"/>
        <v>0.30148018819405331</v>
      </c>
    </row>
    <row r="497" spans="1:4" x14ac:dyDescent="0.2">
      <c r="A497" s="4">
        <v>39057</v>
      </c>
      <c r="B497" s="5">
        <v>89.83</v>
      </c>
      <c r="C497" s="1">
        <f t="shared" si="14"/>
        <v>-1.5903151287670662E-2</v>
      </c>
      <c r="D497" s="1">
        <f t="shared" si="13"/>
        <v>0.30063427691056183</v>
      </c>
    </row>
    <row r="498" spans="1:4" x14ac:dyDescent="0.2">
      <c r="A498" s="4">
        <v>39058</v>
      </c>
      <c r="B498" s="5">
        <v>87.04</v>
      </c>
      <c r="C498" s="1">
        <f t="shared" si="14"/>
        <v>-3.1551212133482713E-2</v>
      </c>
      <c r="D498" s="1">
        <f t="shared" si="13"/>
        <v>0.31087817167379456</v>
      </c>
    </row>
    <row r="499" spans="1:4" x14ac:dyDescent="0.2">
      <c r="A499" s="4">
        <v>39059</v>
      </c>
      <c r="B499" s="5">
        <v>88.26</v>
      </c>
      <c r="C499" s="1">
        <f t="shared" si="14"/>
        <v>1.3919220733768565E-2</v>
      </c>
      <c r="D499" s="1">
        <f t="shared" si="13"/>
        <v>0.3120745584204393</v>
      </c>
    </row>
    <row r="500" spans="1:4" x14ac:dyDescent="0.2">
      <c r="A500" s="4">
        <v>39062</v>
      </c>
      <c r="B500" s="5">
        <v>88.75</v>
      </c>
      <c r="C500" s="1">
        <f t="shared" si="14"/>
        <v>5.5364245141240453E-3</v>
      </c>
      <c r="D500" s="1">
        <f t="shared" si="13"/>
        <v>0.31204444207166593</v>
      </c>
    </row>
    <row r="501" spans="1:4" x14ac:dyDescent="0.2">
      <c r="A501" s="4">
        <v>39063</v>
      </c>
      <c r="B501" s="5">
        <v>86.14</v>
      </c>
      <c r="C501" s="1">
        <f t="shared" si="14"/>
        <v>-2.9849548729560679E-2</v>
      </c>
      <c r="D501" s="1">
        <f t="shared" si="13"/>
        <v>0.31349734938444151</v>
      </c>
    </row>
    <row r="502" spans="1:4" x14ac:dyDescent="0.2">
      <c r="A502" s="4">
        <v>39064</v>
      </c>
      <c r="B502" s="5">
        <v>89.05</v>
      </c>
      <c r="C502" s="1">
        <f t="shared" si="14"/>
        <v>3.3224130109706193E-2</v>
      </c>
      <c r="D502" s="1">
        <f t="shared" si="13"/>
        <v>0.32182907098041824</v>
      </c>
    </row>
    <row r="503" spans="1:4" x14ac:dyDescent="0.2">
      <c r="A503" s="4">
        <v>39065</v>
      </c>
      <c r="B503" s="5">
        <v>88.55</v>
      </c>
      <c r="C503" s="1">
        <f t="shared" si="14"/>
        <v>-5.6306455068280701E-3</v>
      </c>
      <c r="D503" s="1">
        <f t="shared" si="13"/>
        <v>0.32053019394813509</v>
      </c>
    </row>
    <row r="504" spans="1:4" x14ac:dyDescent="0.2">
      <c r="A504" s="4">
        <v>39066</v>
      </c>
      <c r="B504" s="5">
        <v>87.72</v>
      </c>
      <c r="C504" s="1">
        <f t="shared" si="14"/>
        <v>-9.4174406791550942E-3</v>
      </c>
      <c r="D504" s="1">
        <f t="shared" si="13"/>
        <v>0.32109281857003558</v>
      </c>
    </row>
    <row r="505" spans="1:4" x14ac:dyDescent="0.2">
      <c r="A505" s="4">
        <v>39069</v>
      </c>
      <c r="B505" s="5">
        <v>85.47</v>
      </c>
      <c r="C505" s="1">
        <f t="shared" si="14"/>
        <v>-2.5984486371760776E-2</v>
      </c>
      <c r="D505" s="1">
        <f t="shared" si="13"/>
        <v>0.32928212923700517</v>
      </c>
    </row>
    <row r="506" spans="1:4" x14ac:dyDescent="0.2">
      <c r="A506" s="4">
        <v>39070</v>
      </c>
      <c r="B506" s="5">
        <v>86.31</v>
      </c>
      <c r="C506" s="1">
        <f t="shared" si="14"/>
        <v>9.7800290536396994E-3</v>
      </c>
      <c r="D506" s="1">
        <f t="shared" si="13"/>
        <v>0.32974356790430936</v>
      </c>
    </row>
    <row r="507" spans="1:4" x14ac:dyDescent="0.2">
      <c r="A507" s="4">
        <v>39071</v>
      </c>
      <c r="B507" s="5">
        <v>84.76</v>
      </c>
      <c r="C507" s="1">
        <f t="shared" si="14"/>
        <v>-1.8121732831467854E-2</v>
      </c>
      <c r="D507" s="1">
        <f t="shared" si="13"/>
        <v>0.33251582221774456</v>
      </c>
    </row>
    <row r="508" spans="1:4" x14ac:dyDescent="0.2">
      <c r="A508" s="4">
        <v>39072</v>
      </c>
      <c r="B508" s="5">
        <v>82.9</v>
      </c>
      <c r="C508" s="1">
        <f t="shared" si="14"/>
        <v>-2.2188671258849022E-2</v>
      </c>
      <c r="D508" s="1">
        <f t="shared" si="13"/>
        <v>0.3381264497255641</v>
      </c>
    </row>
    <row r="509" spans="1:4" x14ac:dyDescent="0.2">
      <c r="A509" s="4">
        <v>39073</v>
      </c>
      <c r="B509" s="5">
        <v>82.2</v>
      </c>
      <c r="C509" s="1">
        <f t="shared" si="14"/>
        <v>-8.4797600791151218E-3</v>
      </c>
      <c r="D509" s="1">
        <f t="shared" ref="D509:D572" si="15">STDEV(C460:C509)*SQRT($B$2)</f>
        <v>0.33230771634658712</v>
      </c>
    </row>
    <row r="510" spans="1:4" x14ac:dyDescent="0.2">
      <c r="A510" s="4">
        <v>39077</v>
      </c>
      <c r="B510" s="5">
        <v>81.510000000000005</v>
      </c>
      <c r="C510" s="1">
        <f t="shared" si="14"/>
        <v>-8.4295899557681638E-3</v>
      </c>
      <c r="D510" s="1">
        <f t="shared" si="15"/>
        <v>0.33318951193035412</v>
      </c>
    </row>
    <row r="511" spans="1:4" x14ac:dyDescent="0.2">
      <c r="A511" s="4">
        <v>39078</v>
      </c>
      <c r="B511" s="5">
        <v>81.52</v>
      </c>
      <c r="C511" s="1">
        <f t="shared" si="14"/>
        <v>1.2267680810315999E-4</v>
      </c>
      <c r="D511" s="1">
        <f t="shared" si="15"/>
        <v>0.3330817615478649</v>
      </c>
    </row>
    <row r="512" spans="1:4" x14ac:dyDescent="0.2">
      <c r="A512" s="4">
        <v>39079</v>
      </c>
      <c r="B512" s="5">
        <v>80.87</v>
      </c>
      <c r="C512" s="1">
        <f t="shared" si="14"/>
        <v>-8.0054618067384488E-3</v>
      </c>
      <c r="D512" s="1">
        <f t="shared" si="15"/>
        <v>0.33108419293359015</v>
      </c>
    </row>
    <row r="513" spans="1:4" x14ac:dyDescent="0.2">
      <c r="A513" s="4">
        <v>39080</v>
      </c>
      <c r="B513" s="5">
        <v>84.84</v>
      </c>
      <c r="C513" s="1">
        <f t="shared" si="14"/>
        <v>4.7924202588750922E-2</v>
      </c>
      <c r="D513" s="1">
        <f t="shared" si="15"/>
        <v>0.35386380348426721</v>
      </c>
    </row>
    <row r="514" spans="1:4" x14ac:dyDescent="0.2">
      <c r="A514" s="4">
        <v>39085</v>
      </c>
      <c r="B514" s="5">
        <v>83.8</v>
      </c>
      <c r="C514" s="1">
        <f t="shared" si="14"/>
        <v>-1.2334122208444395E-2</v>
      </c>
      <c r="D514" s="1">
        <f t="shared" si="15"/>
        <v>0.32120310327938983</v>
      </c>
    </row>
    <row r="515" spans="1:4" x14ac:dyDescent="0.2">
      <c r="A515" s="4">
        <v>39086</v>
      </c>
      <c r="B515" s="5">
        <v>85.66</v>
      </c>
      <c r="C515" s="1">
        <f t="shared" si="14"/>
        <v>2.1952964699187654E-2</v>
      </c>
      <c r="D515" s="1">
        <f t="shared" si="15"/>
        <v>0.32478592307047205</v>
      </c>
    </row>
    <row r="516" spans="1:4" x14ac:dyDescent="0.2">
      <c r="A516" s="4">
        <v>39087</v>
      </c>
      <c r="B516" s="5">
        <v>85.05</v>
      </c>
      <c r="C516" s="1">
        <f t="shared" si="14"/>
        <v>-7.146653345354163E-3</v>
      </c>
      <c r="D516" s="1">
        <f t="shared" si="15"/>
        <v>0.32200997348912119</v>
      </c>
    </row>
    <row r="517" spans="1:4" x14ac:dyDescent="0.2">
      <c r="A517" s="4">
        <v>39090</v>
      </c>
      <c r="B517" s="5">
        <v>85.47</v>
      </c>
      <c r="C517" s="1">
        <f t="shared" si="14"/>
        <v>4.9261183360557815E-3</v>
      </c>
      <c r="D517" s="1">
        <f t="shared" si="15"/>
        <v>0.32177410248151578</v>
      </c>
    </row>
    <row r="518" spans="1:4" x14ac:dyDescent="0.2">
      <c r="A518" s="4">
        <v>39091</v>
      </c>
      <c r="B518" s="5">
        <v>92.57</v>
      </c>
      <c r="C518" s="1">
        <f t="shared" si="14"/>
        <v>7.9799677901193231E-2</v>
      </c>
      <c r="D518" s="1">
        <f t="shared" si="15"/>
        <v>0.38550413219679769</v>
      </c>
    </row>
    <row r="519" spans="1:4" x14ac:dyDescent="0.2">
      <c r="A519" s="4">
        <v>39092</v>
      </c>
      <c r="B519" s="5">
        <v>97</v>
      </c>
      <c r="C519" s="1">
        <f t="shared" si="14"/>
        <v>4.674586342426304E-2</v>
      </c>
      <c r="D519" s="1">
        <f t="shared" si="15"/>
        <v>0.40354236732055282</v>
      </c>
    </row>
    <row r="520" spans="1:4" x14ac:dyDescent="0.2">
      <c r="A520" s="4">
        <v>39093</v>
      </c>
      <c r="B520" s="5">
        <v>95.8</v>
      </c>
      <c r="C520" s="1">
        <f t="shared" si="14"/>
        <v>-1.244829352656803E-2</v>
      </c>
      <c r="D520" s="1">
        <f t="shared" si="15"/>
        <v>0.39993761309605536</v>
      </c>
    </row>
    <row r="521" spans="1:4" x14ac:dyDescent="0.2">
      <c r="A521" s="4">
        <v>39094</v>
      </c>
      <c r="B521" s="5">
        <v>94.62</v>
      </c>
      <c r="C521" s="1">
        <f t="shared" si="14"/>
        <v>-1.2393814773812744E-2</v>
      </c>
      <c r="D521" s="1">
        <f t="shared" si="15"/>
        <v>0.40214927864242117</v>
      </c>
    </row>
    <row r="522" spans="1:4" x14ac:dyDescent="0.2">
      <c r="A522" s="4">
        <v>39098</v>
      </c>
      <c r="B522" s="5">
        <v>97.1</v>
      </c>
      <c r="C522" s="1">
        <f t="shared" si="14"/>
        <v>2.5872505094277083E-2</v>
      </c>
      <c r="D522" s="1">
        <f t="shared" si="15"/>
        <v>0.4065814465110601</v>
      </c>
    </row>
    <row r="523" spans="1:4" x14ac:dyDescent="0.2">
      <c r="A523" s="4">
        <v>39099</v>
      </c>
      <c r="B523" s="5">
        <v>94.95</v>
      </c>
      <c r="C523" s="1">
        <f t="shared" si="14"/>
        <v>-2.2390938038984294E-2</v>
      </c>
      <c r="D523" s="1">
        <f t="shared" si="15"/>
        <v>0.4058077453192509</v>
      </c>
    </row>
    <row r="524" spans="1:4" x14ac:dyDescent="0.2">
      <c r="A524" s="4">
        <v>39100</v>
      </c>
      <c r="B524" s="5">
        <v>89.07</v>
      </c>
      <c r="C524" s="1">
        <f t="shared" ref="C524:C587" si="16">LN(B524/B523)</f>
        <v>-6.3927859814516805E-2</v>
      </c>
      <c r="D524" s="1">
        <f t="shared" si="15"/>
        <v>0.4448127623428545</v>
      </c>
    </row>
    <row r="525" spans="1:4" x14ac:dyDescent="0.2">
      <c r="A525" s="4">
        <v>39101</v>
      </c>
      <c r="B525" s="5">
        <v>88.5</v>
      </c>
      <c r="C525" s="1">
        <f t="shared" si="16"/>
        <v>-6.4200254298941977E-3</v>
      </c>
      <c r="D525" s="1">
        <f t="shared" si="15"/>
        <v>0.444417246676441</v>
      </c>
    </row>
    <row r="526" spans="1:4" x14ac:dyDescent="0.2">
      <c r="A526" s="4">
        <v>39104</v>
      </c>
      <c r="B526" s="5">
        <v>86.79</v>
      </c>
      <c r="C526" s="1">
        <f t="shared" si="16"/>
        <v>-1.9511144357730329E-2</v>
      </c>
      <c r="D526" s="1">
        <f t="shared" si="15"/>
        <v>0.44620108854636542</v>
      </c>
    </row>
    <row r="527" spans="1:4" x14ac:dyDescent="0.2">
      <c r="A527" s="4">
        <v>39105</v>
      </c>
      <c r="B527" s="5">
        <v>85.7</v>
      </c>
      <c r="C527" s="1">
        <f t="shared" si="16"/>
        <v>-1.2638582052419394E-2</v>
      </c>
      <c r="D527" s="1">
        <f t="shared" si="15"/>
        <v>0.44725808960184454</v>
      </c>
    </row>
    <row r="528" spans="1:4" x14ac:dyDescent="0.2">
      <c r="A528" s="4">
        <v>39106</v>
      </c>
      <c r="B528" s="5">
        <v>86.7</v>
      </c>
      <c r="C528" s="1">
        <f t="shared" si="16"/>
        <v>1.1601058182761975E-2</v>
      </c>
      <c r="D528" s="1">
        <f t="shared" si="15"/>
        <v>0.4438740803928844</v>
      </c>
    </row>
    <row r="529" spans="1:4" x14ac:dyDescent="0.2">
      <c r="A529" s="4">
        <v>39107</v>
      </c>
      <c r="B529" s="5">
        <v>86.25</v>
      </c>
      <c r="C529" s="1">
        <f t="shared" si="16"/>
        <v>-5.2038278750271101E-3</v>
      </c>
      <c r="D529" s="1">
        <f t="shared" si="15"/>
        <v>0.44336002290482512</v>
      </c>
    </row>
    <row r="530" spans="1:4" x14ac:dyDescent="0.2">
      <c r="A530" s="4">
        <v>39108</v>
      </c>
      <c r="B530" s="5">
        <v>85.38</v>
      </c>
      <c r="C530" s="1">
        <f t="shared" si="16"/>
        <v>-1.0138174581653194E-2</v>
      </c>
      <c r="D530" s="1">
        <f t="shared" si="15"/>
        <v>0.4442408882657361</v>
      </c>
    </row>
    <row r="531" spans="1:4" x14ac:dyDescent="0.2">
      <c r="A531" s="4">
        <v>39111</v>
      </c>
      <c r="B531" s="5">
        <v>85.94</v>
      </c>
      <c r="C531" s="1">
        <f t="shared" si="16"/>
        <v>6.5374970170330345E-3</v>
      </c>
      <c r="D531" s="1">
        <f t="shared" si="15"/>
        <v>0.4428501380001803</v>
      </c>
    </row>
    <row r="532" spans="1:4" x14ac:dyDescent="0.2">
      <c r="A532" s="4">
        <v>39112</v>
      </c>
      <c r="B532" s="5">
        <v>85.55</v>
      </c>
      <c r="C532" s="1">
        <f t="shared" si="16"/>
        <v>-4.5483780086465198E-3</v>
      </c>
      <c r="D532" s="1">
        <f t="shared" si="15"/>
        <v>0.44258010870130127</v>
      </c>
    </row>
    <row r="533" spans="1:4" x14ac:dyDescent="0.2">
      <c r="A533" s="4">
        <v>39113</v>
      </c>
      <c r="B533" s="5">
        <v>85.73</v>
      </c>
      <c r="C533" s="1">
        <f t="shared" si="16"/>
        <v>2.1018223524622605E-3</v>
      </c>
      <c r="D533" s="1">
        <f t="shared" si="15"/>
        <v>0.44149396288083426</v>
      </c>
    </row>
    <row r="534" spans="1:4" x14ac:dyDescent="0.2">
      <c r="A534" s="4">
        <v>39114</v>
      </c>
      <c r="B534" s="5">
        <v>84.74</v>
      </c>
      <c r="C534" s="1">
        <f t="shared" si="16"/>
        <v>-1.1615077492251477E-2</v>
      </c>
      <c r="D534" s="1">
        <f t="shared" si="15"/>
        <v>0.43982430463301381</v>
      </c>
    </row>
    <row r="535" spans="1:4" x14ac:dyDescent="0.2">
      <c r="A535" s="4">
        <v>39115</v>
      </c>
      <c r="B535" s="5">
        <v>84.75</v>
      </c>
      <c r="C535" s="1">
        <f t="shared" si="16"/>
        <v>1.180010621465691E-4</v>
      </c>
      <c r="D535" s="1">
        <f t="shared" si="15"/>
        <v>0.43974755460167347</v>
      </c>
    </row>
    <row r="536" spans="1:4" x14ac:dyDescent="0.2">
      <c r="A536" s="4">
        <v>39118</v>
      </c>
      <c r="B536" s="5">
        <v>83.94</v>
      </c>
      <c r="C536" s="1">
        <f t="shared" si="16"/>
        <v>-9.6034883551148528E-3</v>
      </c>
      <c r="D536" s="1">
        <f t="shared" si="15"/>
        <v>0.43996885402837121</v>
      </c>
    </row>
    <row r="537" spans="1:4" x14ac:dyDescent="0.2">
      <c r="A537" s="4">
        <v>39119</v>
      </c>
      <c r="B537" s="5">
        <v>84.15</v>
      </c>
      <c r="C537" s="1">
        <f t="shared" si="16"/>
        <v>2.4986627313703562E-3</v>
      </c>
      <c r="D537" s="1">
        <f t="shared" si="15"/>
        <v>0.43467675518505666</v>
      </c>
    </row>
    <row r="538" spans="1:4" x14ac:dyDescent="0.2">
      <c r="A538" s="4">
        <v>39120</v>
      </c>
      <c r="B538" s="5">
        <v>86.15</v>
      </c>
      <c r="C538" s="1">
        <f t="shared" si="16"/>
        <v>2.3489042337123612E-2</v>
      </c>
      <c r="D538" s="1">
        <f t="shared" si="15"/>
        <v>0.43634381179067905</v>
      </c>
    </row>
    <row r="539" spans="1:4" x14ac:dyDescent="0.2">
      <c r="A539" s="4">
        <v>39121</v>
      </c>
      <c r="B539" s="5">
        <v>86.18</v>
      </c>
      <c r="C539" s="1">
        <f t="shared" si="16"/>
        <v>3.4816921375343027E-4</v>
      </c>
      <c r="D539" s="1">
        <f t="shared" si="15"/>
        <v>0.43428046372866974</v>
      </c>
    </row>
    <row r="540" spans="1:4" x14ac:dyDescent="0.2">
      <c r="A540" s="4">
        <v>39122</v>
      </c>
      <c r="B540" s="5">
        <v>83.27</v>
      </c>
      <c r="C540" s="1">
        <f t="shared" si="16"/>
        <v>-3.4349791939964167E-2</v>
      </c>
      <c r="D540" s="1">
        <f t="shared" si="15"/>
        <v>0.43954294101099706</v>
      </c>
    </row>
    <row r="541" spans="1:4" x14ac:dyDescent="0.2">
      <c r="A541" s="4">
        <v>39125</v>
      </c>
      <c r="B541" s="5">
        <v>84.88</v>
      </c>
      <c r="C541" s="1">
        <f t="shared" si="16"/>
        <v>1.9150154057999781E-2</v>
      </c>
      <c r="D541" s="1">
        <f t="shared" si="15"/>
        <v>0.4371822642924304</v>
      </c>
    </row>
    <row r="542" spans="1:4" x14ac:dyDescent="0.2">
      <c r="A542" s="4">
        <v>39126</v>
      </c>
      <c r="B542" s="5">
        <v>84.7</v>
      </c>
      <c r="C542" s="1">
        <f t="shared" si="16"/>
        <v>-2.1228926477188806E-3</v>
      </c>
      <c r="D542" s="1">
        <f t="shared" si="15"/>
        <v>0.43716600254745208</v>
      </c>
    </row>
    <row r="543" spans="1:4" x14ac:dyDescent="0.2">
      <c r="A543" s="4">
        <v>39127</v>
      </c>
      <c r="B543" s="5">
        <v>85.3</v>
      </c>
      <c r="C543" s="1">
        <f t="shared" si="16"/>
        <v>7.0588528396246068E-3</v>
      </c>
      <c r="D543" s="1">
        <f t="shared" si="15"/>
        <v>0.43779316597368634</v>
      </c>
    </row>
    <row r="544" spans="1:4" x14ac:dyDescent="0.2">
      <c r="A544" s="4">
        <v>39128</v>
      </c>
      <c r="B544" s="5">
        <v>85.21</v>
      </c>
      <c r="C544" s="1">
        <f t="shared" si="16"/>
        <v>-1.0556566577689147E-3</v>
      </c>
      <c r="D544" s="1">
        <f t="shared" si="15"/>
        <v>0.43774905610967485</v>
      </c>
    </row>
    <row r="545" spans="1:4" x14ac:dyDescent="0.2">
      <c r="A545" s="4">
        <v>39129</v>
      </c>
      <c r="B545" s="5">
        <v>84.83</v>
      </c>
      <c r="C545" s="1">
        <f t="shared" si="16"/>
        <v>-4.4695440202211275E-3</v>
      </c>
      <c r="D545" s="1">
        <f t="shared" si="15"/>
        <v>0.43782357001273131</v>
      </c>
    </row>
    <row r="546" spans="1:4" x14ac:dyDescent="0.2">
      <c r="A546" s="4">
        <v>39133</v>
      </c>
      <c r="B546" s="5">
        <v>85.9</v>
      </c>
      <c r="C546" s="1">
        <f t="shared" si="16"/>
        <v>1.2534575170566303E-2</v>
      </c>
      <c r="D546" s="1">
        <f t="shared" si="15"/>
        <v>0.43937921710996375</v>
      </c>
    </row>
    <row r="547" spans="1:4" x14ac:dyDescent="0.2">
      <c r="A547" s="4">
        <v>39134</v>
      </c>
      <c r="B547" s="5">
        <v>89.2</v>
      </c>
      <c r="C547" s="1">
        <f t="shared" si="16"/>
        <v>3.7697210595753913E-2</v>
      </c>
      <c r="D547" s="1">
        <f t="shared" si="15"/>
        <v>0.44977348337380457</v>
      </c>
    </row>
    <row r="548" spans="1:4" x14ac:dyDescent="0.2">
      <c r="A548" s="4">
        <v>39135</v>
      </c>
      <c r="B548" s="5">
        <v>89.51</v>
      </c>
      <c r="C548" s="1">
        <f t="shared" si="16"/>
        <v>3.4693112968838305E-3</v>
      </c>
      <c r="D548" s="1">
        <f t="shared" si="15"/>
        <v>0.44143092922288685</v>
      </c>
    </row>
    <row r="549" spans="1:4" x14ac:dyDescent="0.2">
      <c r="A549" s="4">
        <v>39136</v>
      </c>
      <c r="B549" s="5">
        <v>89.07</v>
      </c>
      <c r="C549" s="1">
        <f t="shared" si="16"/>
        <v>-4.9277734390695679E-3</v>
      </c>
      <c r="D549" s="1">
        <f t="shared" si="15"/>
        <v>0.4401172219859294</v>
      </c>
    </row>
    <row r="550" spans="1:4" x14ac:dyDescent="0.2">
      <c r="A550" s="4">
        <v>39139</v>
      </c>
      <c r="B550" s="5">
        <v>88.51</v>
      </c>
      <c r="C550" s="1">
        <f t="shared" si="16"/>
        <v>-6.3070374629924193E-3</v>
      </c>
      <c r="D550" s="1">
        <f t="shared" si="15"/>
        <v>0.44020733195309492</v>
      </c>
    </row>
    <row r="551" spans="1:4" x14ac:dyDescent="0.2">
      <c r="A551" s="4">
        <v>39140</v>
      </c>
      <c r="B551" s="5">
        <v>83.93</v>
      </c>
      <c r="C551" s="1">
        <f t="shared" si="16"/>
        <v>-5.31324218860494E-2</v>
      </c>
      <c r="D551" s="1">
        <f t="shared" si="15"/>
        <v>0.45615218367618099</v>
      </c>
    </row>
    <row r="552" spans="1:4" x14ac:dyDescent="0.2">
      <c r="A552" s="4">
        <v>39141</v>
      </c>
      <c r="B552" s="5">
        <v>84.61</v>
      </c>
      <c r="C552" s="1">
        <f t="shared" si="16"/>
        <v>8.069344841673284E-3</v>
      </c>
      <c r="D552" s="1">
        <f t="shared" si="15"/>
        <v>0.44726756551799035</v>
      </c>
    </row>
    <row r="553" spans="1:4" x14ac:dyDescent="0.2">
      <c r="A553" s="4">
        <v>39142</v>
      </c>
      <c r="B553" s="5">
        <v>87.06</v>
      </c>
      <c r="C553" s="1">
        <f t="shared" si="16"/>
        <v>2.8545073187742048E-2</v>
      </c>
      <c r="D553" s="1">
        <f t="shared" si="15"/>
        <v>0.45412388877487059</v>
      </c>
    </row>
    <row r="554" spans="1:4" x14ac:dyDescent="0.2">
      <c r="A554" s="4">
        <v>39143</v>
      </c>
      <c r="B554" s="5">
        <v>85.41</v>
      </c>
      <c r="C554" s="1">
        <f t="shared" si="16"/>
        <v>-1.9134346166095644E-2</v>
      </c>
      <c r="D554" s="1">
        <f t="shared" si="15"/>
        <v>0.4563243539157909</v>
      </c>
    </row>
    <row r="555" spans="1:4" x14ac:dyDescent="0.2">
      <c r="A555" s="4">
        <v>39146</v>
      </c>
      <c r="B555" s="5">
        <v>86.32</v>
      </c>
      <c r="C555" s="1">
        <f t="shared" si="16"/>
        <v>1.0598130991823284E-2</v>
      </c>
      <c r="D555" s="1">
        <f t="shared" si="15"/>
        <v>0.45180814131063862</v>
      </c>
    </row>
    <row r="556" spans="1:4" x14ac:dyDescent="0.2">
      <c r="A556" s="4">
        <v>39147</v>
      </c>
      <c r="B556" s="5">
        <v>88.19</v>
      </c>
      <c r="C556" s="1">
        <f t="shared" si="16"/>
        <v>2.1432256950210313E-2</v>
      </c>
      <c r="D556" s="1">
        <f t="shared" si="15"/>
        <v>0.45473635307578741</v>
      </c>
    </row>
    <row r="557" spans="1:4" x14ac:dyDescent="0.2">
      <c r="A557" s="4">
        <v>39148</v>
      </c>
      <c r="B557" s="5">
        <v>87.72</v>
      </c>
      <c r="C557" s="1">
        <f t="shared" si="16"/>
        <v>-5.3436543504019737E-3</v>
      </c>
      <c r="D557" s="1">
        <f t="shared" si="15"/>
        <v>0.452156237721896</v>
      </c>
    </row>
    <row r="558" spans="1:4" x14ac:dyDescent="0.2">
      <c r="A558" s="4">
        <v>39149</v>
      </c>
      <c r="B558" s="5">
        <v>88</v>
      </c>
      <c r="C558" s="1">
        <f t="shared" si="16"/>
        <v>3.1868909285191231E-3</v>
      </c>
      <c r="D558" s="1">
        <f t="shared" si="15"/>
        <v>0.44777007588430723</v>
      </c>
    </row>
    <row r="559" spans="1:4" x14ac:dyDescent="0.2">
      <c r="A559" s="4">
        <v>39150</v>
      </c>
      <c r="B559" s="5">
        <v>87.97</v>
      </c>
      <c r="C559" s="1">
        <f t="shared" si="16"/>
        <v>-3.4096721362332928E-4</v>
      </c>
      <c r="D559" s="1">
        <f t="shared" si="15"/>
        <v>0.44699958752463226</v>
      </c>
    </row>
    <row r="560" spans="1:4" x14ac:dyDescent="0.2">
      <c r="A560" s="4">
        <v>39153</v>
      </c>
      <c r="B560" s="5">
        <v>89.87</v>
      </c>
      <c r="C560" s="1">
        <f t="shared" si="16"/>
        <v>2.1368334405699019E-2</v>
      </c>
      <c r="D560" s="1">
        <f t="shared" si="15"/>
        <v>0.44938397868160118</v>
      </c>
    </row>
    <row r="561" spans="1:4" x14ac:dyDescent="0.2">
      <c r="A561" s="4">
        <v>39154</v>
      </c>
      <c r="B561" s="5">
        <v>88.4</v>
      </c>
      <c r="C561" s="1">
        <f t="shared" si="16"/>
        <v>-1.64922120266843E-2</v>
      </c>
      <c r="D561" s="1">
        <f t="shared" si="15"/>
        <v>0.45212183912216258</v>
      </c>
    </row>
    <row r="562" spans="1:4" x14ac:dyDescent="0.2">
      <c r="A562" s="4">
        <v>39155</v>
      </c>
      <c r="B562" s="5">
        <v>90</v>
      </c>
      <c r="C562" s="1">
        <f t="shared" si="16"/>
        <v>1.7937700686667252E-2</v>
      </c>
      <c r="D562" s="1">
        <f t="shared" si="15"/>
        <v>0.45343905931846407</v>
      </c>
    </row>
    <row r="563" spans="1:4" x14ac:dyDescent="0.2">
      <c r="A563" s="4">
        <v>39156</v>
      </c>
      <c r="B563" s="5">
        <v>89.57</v>
      </c>
      <c r="C563" s="1">
        <f t="shared" si="16"/>
        <v>-4.7892278431612319E-3</v>
      </c>
      <c r="D563" s="1">
        <f t="shared" si="15"/>
        <v>0.43581606680929086</v>
      </c>
    </row>
    <row r="564" spans="1:4" x14ac:dyDescent="0.2">
      <c r="A564" s="4">
        <v>39157</v>
      </c>
      <c r="B564" s="5">
        <v>89.59</v>
      </c>
      <c r="C564" s="1">
        <f t="shared" si="16"/>
        <v>2.2326412238321441E-4</v>
      </c>
      <c r="D564" s="1">
        <f t="shared" si="15"/>
        <v>0.43425374151423929</v>
      </c>
    </row>
    <row r="565" spans="1:4" x14ac:dyDescent="0.2">
      <c r="A565" s="4">
        <v>39160</v>
      </c>
      <c r="B565" s="5">
        <v>91.13</v>
      </c>
      <c r="C565" s="1">
        <f t="shared" si="16"/>
        <v>1.7043351898548227E-2</v>
      </c>
      <c r="D565" s="1">
        <f t="shared" si="15"/>
        <v>0.43271734197201567</v>
      </c>
    </row>
    <row r="566" spans="1:4" x14ac:dyDescent="0.2">
      <c r="A566" s="4">
        <v>39161</v>
      </c>
      <c r="B566" s="5">
        <v>91.48</v>
      </c>
      <c r="C566" s="1">
        <f t="shared" si="16"/>
        <v>3.833310646544949E-3</v>
      </c>
      <c r="D566" s="1">
        <f t="shared" si="15"/>
        <v>0.4321490784011473</v>
      </c>
    </row>
    <row r="567" spans="1:4" x14ac:dyDescent="0.2">
      <c r="A567" s="4">
        <v>39162</v>
      </c>
      <c r="B567" s="5">
        <v>93.87</v>
      </c>
      <c r="C567" s="1">
        <f t="shared" si="16"/>
        <v>2.579047719432009E-2</v>
      </c>
      <c r="D567" s="1">
        <f t="shared" si="15"/>
        <v>0.43704554431532083</v>
      </c>
    </row>
    <row r="568" spans="1:4" x14ac:dyDescent="0.2">
      <c r="A568" s="4">
        <v>39163</v>
      </c>
      <c r="B568" s="5">
        <v>93.96</v>
      </c>
      <c r="C568" s="1">
        <f t="shared" si="16"/>
        <v>9.5831344181137538E-4</v>
      </c>
      <c r="D568" s="1">
        <f t="shared" si="15"/>
        <v>0.38060057987861035</v>
      </c>
    </row>
    <row r="569" spans="1:4" x14ac:dyDescent="0.2">
      <c r="A569" s="4">
        <v>39164</v>
      </c>
      <c r="B569" s="5">
        <v>93.52</v>
      </c>
      <c r="C569" s="1">
        <f t="shared" si="16"/>
        <v>-4.6938426268990615E-3</v>
      </c>
      <c r="D569" s="1">
        <f t="shared" si="15"/>
        <v>0.35857748924079424</v>
      </c>
    </row>
    <row r="570" spans="1:4" x14ac:dyDescent="0.2">
      <c r="A570" s="4">
        <v>39167</v>
      </c>
      <c r="B570" s="5">
        <v>95.85</v>
      </c>
      <c r="C570" s="1">
        <f t="shared" si="16"/>
        <v>2.4609152327840455E-2</v>
      </c>
      <c r="D570" s="1">
        <f t="shared" si="15"/>
        <v>0.36350175611512148</v>
      </c>
    </row>
    <row r="571" spans="1:4" x14ac:dyDescent="0.2">
      <c r="A571" s="4">
        <v>39168</v>
      </c>
      <c r="B571" s="5">
        <v>95.46</v>
      </c>
      <c r="C571" s="1">
        <f t="shared" si="16"/>
        <v>-4.0771579139029712E-3</v>
      </c>
      <c r="D571" s="1">
        <f t="shared" si="15"/>
        <v>0.36207946987600392</v>
      </c>
    </row>
    <row r="572" spans="1:4" x14ac:dyDescent="0.2">
      <c r="A572" s="4">
        <v>39169</v>
      </c>
      <c r="B572" s="5">
        <v>93.24</v>
      </c>
      <c r="C572" s="1">
        <f t="shared" si="16"/>
        <v>-2.3530497410194161E-2</v>
      </c>
      <c r="D572" s="1">
        <f t="shared" si="15"/>
        <v>0.360563688701727</v>
      </c>
    </row>
    <row r="573" spans="1:4" x14ac:dyDescent="0.2">
      <c r="A573" s="4">
        <v>39170</v>
      </c>
      <c r="B573" s="5">
        <v>93.75</v>
      </c>
      <c r="C573" s="1">
        <f t="shared" si="16"/>
        <v>5.4548506829639309E-3</v>
      </c>
      <c r="D573" s="1">
        <f t="shared" ref="D573:D636" si="17">STDEV(C524:C573)*SQRT($B$2)</f>
        <v>0.35596950418895451</v>
      </c>
    </row>
    <row r="574" spans="1:4" x14ac:dyDescent="0.2">
      <c r="A574" s="4">
        <v>39171</v>
      </c>
      <c r="B574" s="5">
        <v>92.91</v>
      </c>
      <c r="C574" s="1">
        <f t="shared" si="16"/>
        <v>-9.0003821972991591E-3</v>
      </c>
      <c r="D574" s="1">
        <f t="shared" si="17"/>
        <v>0.31086027811836558</v>
      </c>
    </row>
    <row r="575" spans="1:4" x14ac:dyDescent="0.2">
      <c r="A575" s="4">
        <v>39174</v>
      </c>
      <c r="B575" s="5">
        <v>93.65</v>
      </c>
      <c r="C575" s="1">
        <f t="shared" si="16"/>
        <v>7.9331462368764684E-3</v>
      </c>
      <c r="D575" s="1">
        <f t="shared" si="17"/>
        <v>0.31078076839105812</v>
      </c>
    </row>
    <row r="576" spans="1:4" x14ac:dyDescent="0.2">
      <c r="A576" s="4">
        <v>39175</v>
      </c>
      <c r="B576" s="5">
        <v>94.5</v>
      </c>
      <c r="C576" s="1">
        <f t="shared" si="16"/>
        <v>9.0354056095995668E-3</v>
      </c>
      <c r="D576" s="1">
        <f t="shared" si="17"/>
        <v>0.30619371962244102</v>
      </c>
    </row>
    <row r="577" spans="1:4" x14ac:dyDescent="0.2">
      <c r="A577" s="4">
        <v>39176</v>
      </c>
      <c r="B577" s="5">
        <v>94.27</v>
      </c>
      <c r="C577" s="1">
        <f t="shared" si="16"/>
        <v>-2.4368290916381256E-3</v>
      </c>
      <c r="D577" s="1">
        <f t="shared" si="17"/>
        <v>0.3038663583556836</v>
      </c>
    </row>
    <row r="578" spans="1:4" x14ac:dyDescent="0.2">
      <c r="A578" s="4">
        <v>39177</v>
      </c>
      <c r="B578" s="5">
        <v>94.68</v>
      </c>
      <c r="C578" s="1">
        <f t="shared" si="16"/>
        <v>4.3397792377242389E-3</v>
      </c>
      <c r="D578" s="1">
        <f t="shared" si="17"/>
        <v>0.30277201408790477</v>
      </c>
    </row>
    <row r="579" spans="1:4" x14ac:dyDescent="0.2">
      <c r="A579" s="4">
        <v>39181</v>
      </c>
      <c r="B579" s="5">
        <v>93.65</v>
      </c>
      <c r="C579" s="1">
        <f t="shared" si="16"/>
        <v>-1.0938355755685669E-2</v>
      </c>
      <c r="D579" s="1">
        <f t="shared" si="17"/>
        <v>0.30414794793690403</v>
      </c>
    </row>
    <row r="580" spans="1:4" x14ac:dyDescent="0.2">
      <c r="A580" s="4">
        <v>39182</v>
      </c>
      <c r="B580" s="5">
        <v>94.25</v>
      </c>
      <c r="C580" s="1">
        <f t="shared" si="16"/>
        <v>6.3863974380226488E-3</v>
      </c>
      <c r="D580" s="1">
        <f t="shared" si="17"/>
        <v>0.30265193853590572</v>
      </c>
    </row>
    <row r="581" spans="1:4" x14ac:dyDescent="0.2">
      <c r="A581" s="4">
        <v>39183</v>
      </c>
      <c r="B581" s="5">
        <v>92.59</v>
      </c>
      <c r="C581" s="1">
        <f t="shared" si="16"/>
        <v>-1.7769681868164338E-2</v>
      </c>
      <c r="D581" s="1">
        <f t="shared" si="17"/>
        <v>0.30701752294326462</v>
      </c>
    </row>
    <row r="582" spans="1:4" x14ac:dyDescent="0.2">
      <c r="A582" s="4">
        <v>39184</v>
      </c>
      <c r="B582" s="5">
        <v>92.19</v>
      </c>
      <c r="C582" s="1">
        <f t="shared" si="16"/>
        <v>-4.3294796494528481E-3</v>
      </c>
      <c r="D582" s="1">
        <f t="shared" si="17"/>
        <v>0.30698601779852341</v>
      </c>
    </row>
    <row r="583" spans="1:4" x14ac:dyDescent="0.2">
      <c r="A583" s="4">
        <v>39185</v>
      </c>
      <c r="B583" s="5">
        <v>90.24</v>
      </c>
      <c r="C583" s="1">
        <f t="shared" si="16"/>
        <v>-2.1378877060754222E-2</v>
      </c>
      <c r="D583" s="1">
        <f t="shared" si="17"/>
        <v>0.31313407703721824</v>
      </c>
    </row>
    <row r="584" spans="1:4" x14ac:dyDescent="0.2">
      <c r="A584" s="4">
        <v>39188</v>
      </c>
      <c r="B584" s="5">
        <v>91.43</v>
      </c>
      <c r="C584" s="1">
        <f t="shared" si="16"/>
        <v>1.3100864426586463E-2</v>
      </c>
      <c r="D584" s="1">
        <f t="shared" si="17"/>
        <v>0.31282250302956177</v>
      </c>
    </row>
    <row r="585" spans="1:4" x14ac:dyDescent="0.2">
      <c r="A585" s="4">
        <v>39189</v>
      </c>
      <c r="B585" s="5">
        <v>90.35</v>
      </c>
      <c r="C585" s="1">
        <f t="shared" si="16"/>
        <v>-1.1882635138097883E-2</v>
      </c>
      <c r="D585" s="1">
        <f t="shared" si="17"/>
        <v>0.31489654783466231</v>
      </c>
    </row>
    <row r="586" spans="1:4" x14ac:dyDescent="0.2">
      <c r="A586" s="4">
        <v>39190</v>
      </c>
      <c r="B586" s="5">
        <v>90.4</v>
      </c>
      <c r="C586" s="1">
        <f t="shared" si="16"/>
        <v>5.5325035989348028E-4</v>
      </c>
      <c r="D586" s="1">
        <f t="shared" si="17"/>
        <v>0.31347426060199124</v>
      </c>
    </row>
    <row r="587" spans="1:4" x14ac:dyDescent="0.2">
      <c r="A587" s="4">
        <v>39191</v>
      </c>
      <c r="B587" s="5">
        <v>90.27</v>
      </c>
      <c r="C587" s="1">
        <f t="shared" si="16"/>
        <v>-1.4390880880673722E-3</v>
      </c>
      <c r="D587" s="1">
        <f t="shared" si="17"/>
        <v>0.31355974282955568</v>
      </c>
    </row>
    <row r="588" spans="1:4" x14ac:dyDescent="0.2">
      <c r="A588" s="4">
        <v>39192</v>
      </c>
      <c r="B588" s="5">
        <v>90.97</v>
      </c>
      <c r="C588" s="1">
        <f t="shared" ref="C588:C651" si="18">LN(B588/B587)</f>
        <v>7.724602523906947E-3</v>
      </c>
      <c r="D588" s="1">
        <f t="shared" si="17"/>
        <v>0.30813481154030609</v>
      </c>
    </row>
    <row r="589" spans="1:4" x14ac:dyDescent="0.2">
      <c r="A589" s="4">
        <v>39195</v>
      </c>
      <c r="B589" s="5">
        <v>93.51</v>
      </c>
      <c r="C589" s="1">
        <f t="shared" si="18"/>
        <v>2.753860061338495E-2</v>
      </c>
      <c r="D589" s="1">
        <f t="shared" si="17"/>
        <v>0.31629745522637376</v>
      </c>
    </row>
    <row r="590" spans="1:4" x14ac:dyDescent="0.2">
      <c r="A590" s="4">
        <v>39196</v>
      </c>
      <c r="B590" s="5">
        <v>93.24</v>
      </c>
      <c r="C590" s="1">
        <f t="shared" si="18"/>
        <v>-2.891568279799125E-3</v>
      </c>
      <c r="D590" s="1">
        <f t="shared" si="17"/>
        <v>0.30067370176964842</v>
      </c>
    </row>
    <row r="591" spans="1:4" x14ac:dyDescent="0.2">
      <c r="A591" s="4">
        <v>39197</v>
      </c>
      <c r="B591" s="5">
        <v>95.35</v>
      </c>
      <c r="C591" s="1">
        <f t="shared" si="18"/>
        <v>2.2377517878871676E-2</v>
      </c>
      <c r="D591" s="1">
        <f t="shared" si="17"/>
        <v>0.30214685755387766</v>
      </c>
    </row>
    <row r="592" spans="1:4" x14ac:dyDescent="0.2">
      <c r="A592" s="4">
        <v>39198</v>
      </c>
      <c r="B592" s="5">
        <v>98.84</v>
      </c>
      <c r="C592" s="1">
        <f t="shared" si="18"/>
        <v>3.5948049073981421E-2</v>
      </c>
      <c r="D592" s="1">
        <f t="shared" si="17"/>
        <v>0.31519806329004074</v>
      </c>
    </row>
    <row r="593" spans="1:4" x14ac:dyDescent="0.2">
      <c r="A593" s="4">
        <v>39199</v>
      </c>
      <c r="B593" s="5">
        <v>99.92</v>
      </c>
      <c r="C593" s="1">
        <f t="shared" si="18"/>
        <v>1.086748469691293E-2</v>
      </c>
      <c r="D593" s="1">
        <f t="shared" si="17"/>
        <v>0.31572303539247931</v>
      </c>
    </row>
    <row r="594" spans="1:4" x14ac:dyDescent="0.2">
      <c r="A594" s="4">
        <v>39202</v>
      </c>
      <c r="B594" s="5">
        <v>99.8</v>
      </c>
      <c r="C594" s="1">
        <f t="shared" si="18"/>
        <v>-1.2016824999040315E-3</v>
      </c>
      <c r="D594" s="1">
        <f t="shared" si="17"/>
        <v>0.31573781900183157</v>
      </c>
    </row>
    <row r="595" spans="1:4" x14ac:dyDescent="0.2">
      <c r="A595" s="4">
        <v>39203</v>
      </c>
      <c r="B595" s="5">
        <v>99.47</v>
      </c>
      <c r="C595" s="1">
        <f t="shared" si="18"/>
        <v>-3.3120921530956807E-3</v>
      </c>
      <c r="D595" s="1">
        <f t="shared" si="17"/>
        <v>0.31554488071277886</v>
      </c>
    </row>
    <row r="596" spans="1:4" x14ac:dyDescent="0.2">
      <c r="A596" s="4">
        <v>39204</v>
      </c>
      <c r="B596" s="5">
        <v>100.39</v>
      </c>
      <c r="C596" s="1">
        <f t="shared" si="18"/>
        <v>9.2065095391127057E-3</v>
      </c>
      <c r="D596" s="1">
        <f t="shared" si="17"/>
        <v>0.31493780179593145</v>
      </c>
    </row>
    <row r="597" spans="1:4" x14ac:dyDescent="0.2">
      <c r="A597" s="4">
        <v>39205</v>
      </c>
      <c r="B597" s="5">
        <v>100.4</v>
      </c>
      <c r="C597" s="1">
        <f t="shared" si="18"/>
        <v>9.960655419377195E-5</v>
      </c>
      <c r="D597" s="1">
        <f t="shared" si="17"/>
        <v>0.30022648905079952</v>
      </c>
    </row>
    <row r="598" spans="1:4" x14ac:dyDescent="0.2">
      <c r="A598" s="4">
        <v>39206</v>
      </c>
      <c r="B598" s="5">
        <v>100.81</v>
      </c>
      <c r="C598" s="1">
        <f t="shared" si="18"/>
        <v>4.0753498082212736E-3</v>
      </c>
      <c r="D598" s="1">
        <f t="shared" si="17"/>
        <v>0.30024754919814295</v>
      </c>
    </row>
    <row r="599" spans="1:4" x14ac:dyDescent="0.2">
      <c r="A599" s="4">
        <v>39209</v>
      </c>
      <c r="B599" s="5">
        <v>103.92</v>
      </c>
      <c r="C599" s="1">
        <f t="shared" si="18"/>
        <v>3.038381529649389E-2</v>
      </c>
      <c r="D599" s="1">
        <f t="shared" si="17"/>
        <v>0.30888153605981283</v>
      </c>
    </row>
    <row r="600" spans="1:4" x14ac:dyDescent="0.2">
      <c r="A600" s="4">
        <v>39210</v>
      </c>
      <c r="B600" s="5">
        <v>105.06</v>
      </c>
      <c r="C600" s="1">
        <f t="shared" si="18"/>
        <v>1.091024316347137E-2</v>
      </c>
      <c r="D600" s="1">
        <f t="shared" si="17"/>
        <v>0.30848494301916191</v>
      </c>
    </row>
    <row r="601" spans="1:4" x14ac:dyDescent="0.2">
      <c r="A601" s="4">
        <v>39211</v>
      </c>
      <c r="B601" s="5">
        <v>106.88</v>
      </c>
      <c r="C601" s="1">
        <f t="shared" si="18"/>
        <v>1.7175094262520108E-2</v>
      </c>
      <c r="D601" s="1">
        <f t="shared" si="17"/>
        <v>0.26833566917379537</v>
      </c>
    </row>
    <row r="602" spans="1:4" x14ac:dyDescent="0.2">
      <c r="A602" s="4">
        <v>39212</v>
      </c>
      <c r="B602" s="5">
        <v>107.34</v>
      </c>
      <c r="C602" s="1">
        <f t="shared" si="18"/>
        <v>4.2946569603472618E-3</v>
      </c>
      <c r="D602" s="1">
        <f t="shared" si="17"/>
        <v>0.26819047364866555</v>
      </c>
    </row>
    <row r="603" spans="1:4" x14ac:dyDescent="0.2">
      <c r="A603" s="4">
        <v>39213</v>
      </c>
      <c r="B603" s="5">
        <v>108.74</v>
      </c>
      <c r="C603" s="1">
        <f t="shared" si="18"/>
        <v>1.2958344969091797E-2</v>
      </c>
      <c r="D603" s="1">
        <f t="shared" si="17"/>
        <v>0.26110583492110251</v>
      </c>
    </row>
    <row r="604" spans="1:4" x14ac:dyDescent="0.2">
      <c r="A604" s="4">
        <v>39216</v>
      </c>
      <c r="B604" s="5">
        <v>109.36</v>
      </c>
      <c r="C604" s="1">
        <f t="shared" si="18"/>
        <v>5.6854806979194806E-3</v>
      </c>
      <c r="D604" s="1">
        <f t="shared" si="17"/>
        <v>0.2528904699357461</v>
      </c>
    </row>
    <row r="605" spans="1:4" x14ac:dyDescent="0.2">
      <c r="A605" s="4">
        <v>39217</v>
      </c>
      <c r="B605" s="5">
        <v>107.52</v>
      </c>
      <c r="C605" s="1">
        <f t="shared" si="18"/>
        <v>-1.6968315640854763E-2</v>
      </c>
      <c r="D605" s="1">
        <f t="shared" si="17"/>
        <v>0.25918857522819611</v>
      </c>
    </row>
    <row r="606" spans="1:4" x14ac:dyDescent="0.2">
      <c r="A606" s="4">
        <v>39218</v>
      </c>
      <c r="B606" s="5">
        <v>107.34</v>
      </c>
      <c r="C606" s="1">
        <f t="shared" si="18"/>
        <v>-1.6755100261565728E-3</v>
      </c>
      <c r="D606" s="1">
        <f t="shared" si="17"/>
        <v>0.25536355081924822</v>
      </c>
    </row>
    <row r="607" spans="1:4" x14ac:dyDescent="0.2">
      <c r="A607" s="4">
        <v>39219</v>
      </c>
      <c r="B607" s="5">
        <v>109.44</v>
      </c>
      <c r="C607" s="1">
        <f t="shared" si="18"/>
        <v>1.9375087125557407E-2</v>
      </c>
      <c r="D607" s="1">
        <f t="shared" si="17"/>
        <v>0.25740201824880016</v>
      </c>
    </row>
    <row r="608" spans="1:4" x14ac:dyDescent="0.2">
      <c r="A608" s="4">
        <v>39220</v>
      </c>
      <c r="B608" s="5">
        <v>110.02</v>
      </c>
      <c r="C608" s="1">
        <f t="shared" si="18"/>
        <v>5.2857135730716206E-3</v>
      </c>
      <c r="D608" s="1">
        <f t="shared" si="17"/>
        <v>0.25738931053569858</v>
      </c>
    </row>
    <row r="609" spans="1:4" x14ac:dyDescent="0.2">
      <c r="A609" s="4">
        <v>39223</v>
      </c>
      <c r="B609" s="5">
        <v>111.98</v>
      </c>
      <c r="C609" s="1">
        <f t="shared" si="18"/>
        <v>1.7658116473435282E-2</v>
      </c>
      <c r="D609" s="1">
        <f t="shared" si="17"/>
        <v>0.259470796056058</v>
      </c>
    </row>
    <row r="610" spans="1:4" x14ac:dyDescent="0.2">
      <c r="A610" s="4">
        <v>39224</v>
      </c>
      <c r="B610" s="5">
        <v>113.54</v>
      </c>
      <c r="C610" s="1">
        <f t="shared" si="18"/>
        <v>1.3834913821832891E-2</v>
      </c>
      <c r="D610" s="1">
        <f t="shared" si="17"/>
        <v>0.25667655228142205</v>
      </c>
    </row>
    <row r="611" spans="1:4" x14ac:dyDescent="0.2">
      <c r="A611" s="4">
        <v>39225</v>
      </c>
      <c r="B611" s="5">
        <v>112.89</v>
      </c>
      <c r="C611" s="1">
        <f t="shared" si="18"/>
        <v>-5.7413044691246697E-3</v>
      </c>
      <c r="D611" s="1">
        <f t="shared" si="17"/>
        <v>0.25166682300177717</v>
      </c>
    </row>
    <row r="612" spans="1:4" x14ac:dyDescent="0.2">
      <c r="A612" s="4">
        <v>39226</v>
      </c>
      <c r="B612" s="5">
        <v>110.69</v>
      </c>
      <c r="C612" s="1">
        <f t="shared" si="18"/>
        <v>-1.9680391875923044E-2</v>
      </c>
      <c r="D612" s="1">
        <f t="shared" si="17"/>
        <v>0.25759402683682092</v>
      </c>
    </row>
    <row r="613" spans="1:4" x14ac:dyDescent="0.2">
      <c r="A613" s="4">
        <v>39227</v>
      </c>
      <c r="B613" s="5">
        <v>113.62</v>
      </c>
      <c r="C613" s="1">
        <f t="shared" si="18"/>
        <v>2.6126045731448184E-2</v>
      </c>
      <c r="D613" s="1">
        <f t="shared" si="17"/>
        <v>0.26309658874558484</v>
      </c>
    </row>
    <row r="614" spans="1:4" x14ac:dyDescent="0.2">
      <c r="A614" s="4">
        <v>39231</v>
      </c>
      <c r="B614" s="5">
        <v>114.35</v>
      </c>
      <c r="C614" s="1">
        <f t="shared" si="18"/>
        <v>6.4043733398092845E-3</v>
      </c>
      <c r="D614" s="1">
        <f t="shared" si="17"/>
        <v>0.26283311526588454</v>
      </c>
    </row>
    <row r="615" spans="1:4" x14ac:dyDescent="0.2">
      <c r="A615" s="4">
        <v>39232</v>
      </c>
      <c r="B615" s="5">
        <v>118.77</v>
      </c>
      <c r="C615" s="1">
        <f t="shared" si="18"/>
        <v>3.7924929317358899E-2</v>
      </c>
      <c r="D615" s="1">
        <f t="shared" si="17"/>
        <v>0.27576828496865297</v>
      </c>
    </row>
    <row r="616" spans="1:4" x14ac:dyDescent="0.2">
      <c r="A616" s="4">
        <v>39233</v>
      </c>
      <c r="B616" s="5">
        <v>121.19</v>
      </c>
      <c r="C616" s="1">
        <f t="shared" si="18"/>
        <v>2.0170712194247001E-2</v>
      </c>
      <c r="D616" s="1">
        <f t="shared" si="17"/>
        <v>0.27863971323600312</v>
      </c>
    </row>
    <row r="617" spans="1:4" x14ac:dyDescent="0.2">
      <c r="A617" s="4">
        <v>39234</v>
      </c>
      <c r="B617" s="5">
        <v>118.4</v>
      </c>
      <c r="C617" s="1">
        <f t="shared" si="18"/>
        <v>-2.3290839530490694E-2</v>
      </c>
      <c r="D617" s="1">
        <f t="shared" si="17"/>
        <v>0.2836903701511389</v>
      </c>
    </row>
    <row r="618" spans="1:4" x14ac:dyDescent="0.2">
      <c r="A618" s="4">
        <v>39237</v>
      </c>
      <c r="B618" s="5">
        <v>121.33</v>
      </c>
      <c r="C618" s="1">
        <f t="shared" si="18"/>
        <v>2.4445383613876385E-2</v>
      </c>
      <c r="D618" s="1">
        <f t="shared" si="17"/>
        <v>0.28847505002113683</v>
      </c>
    </row>
    <row r="619" spans="1:4" x14ac:dyDescent="0.2">
      <c r="A619" s="4">
        <v>39238</v>
      </c>
      <c r="B619" s="5">
        <v>122.67</v>
      </c>
      <c r="C619" s="1">
        <f t="shared" si="18"/>
        <v>1.0983716980878971E-2</v>
      </c>
      <c r="D619" s="1">
        <f t="shared" si="17"/>
        <v>0.28761361770576294</v>
      </c>
    </row>
    <row r="620" spans="1:4" x14ac:dyDescent="0.2">
      <c r="A620" s="4">
        <v>39239</v>
      </c>
      <c r="B620" s="5">
        <v>123.64</v>
      </c>
      <c r="C620" s="1">
        <f t="shared" si="18"/>
        <v>7.8762942192549083E-3</v>
      </c>
      <c r="D620" s="1">
        <f t="shared" si="17"/>
        <v>0.28281361553069845</v>
      </c>
    </row>
    <row r="621" spans="1:4" x14ac:dyDescent="0.2">
      <c r="A621" s="4">
        <v>39240</v>
      </c>
      <c r="B621" s="5">
        <v>124.07</v>
      </c>
      <c r="C621" s="1">
        <f t="shared" si="18"/>
        <v>3.4718051908645595E-3</v>
      </c>
      <c r="D621" s="1">
        <f t="shared" si="17"/>
        <v>0.28172391960494314</v>
      </c>
    </row>
    <row r="622" spans="1:4" x14ac:dyDescent="0.2">
      <c r="A622" s="4">
        <v>39241</v>
      </c>
      <c r="B622" s="5">
        <v>124.49</v>
      </c>
      <c r="C622" s="1">
        <f t="shared" si="18"/>
        <v>3.3794689389145117E-3</v>
      </c>
      <c r="D622" s="1">
        <f t="shared" si="17"/>
        <v>0.27040585788002608</v>
      </c>
    </row>
    <row r="623" spans="1:4" x14ac:dyDescent="0.2">
      <c r="A623" s="4">
        <v>39244</v>
      </c>
      <c r="B623" s="5">
        <v>120.19</v>
      </c>
      <c r="C623" s="1">
        <f t="shared" si="18"/>
        <v>-3.5151567428997076E-2</v>
      </c>
      <c r="D623" s="1">
        <f t="shared" si="17"/>
        <v>0.29215312490499507</v>
      </c>
    </row>
    <row r="624" spans="1:4" x14ac:dyDescent="0.2">
      <c r="A624" s="4">
        <v>39245</v>
      </c>
      <c r="B624" s="5">
        <v>120.38</v>
      </c>
      <c r="C624" s="1">
        <f t="shared" si="18"/>
        <v>1.5795821549272008E-3</v>
      </c>
      <c r="D624" s="1">
        <f t="shared" si="17"/>
        <v>0.28977362029355169</v>
      </c>
    </row>
    <row r="625" spans="1:4" x14ac:dyDescent="0.2">
      <c r="A625" s="4">
        <v>39246</v>
      </c>
      <c r="B625" s="5">
        <v>117.5</v>
      </c>
      <c r="C625" s="1">
        <f t="shared" si="18"/>
        <v>-2.4215072535411053E-2</v>
      </c>
      <c r="D625" s="1">
        <f t="shared" si="17"/>
        <v>0.30032477655042172</v>
      </c>
    </row>
    <row r="626" spans="1:4" x14ac:dyDescent="0.2">
      <c r="A626" s="4">
        <v>39247</v>
      </c>
      <c r="B626" s="5">
        <v>118.75</v>
      </c>
      <c r="C626" s="1">
        <f t="shared" si="18"/>
        <v>1.0582109330537008E-2</v>
      </c>
      <c r="D626" s="1">
        <f t="shared" si="17"/>
        <v>0.30052633772925258</v>
      </c>
    </row>
    <row r="627" spans="1:4" x14ac:dyDescent="0.2">
      <c r="A627" s="4">
        <v>39248</v>
      </c>
      <c r="B627" s="5">
        <v>120.5</v>
      </c>
      <c r="C627" s="1">
        <f t="shared" si="18"/>
        <v>1.4629310015959096E-2</v>
      </c>
      <c r="D627" s="1">
        <f t="shared" si="17"/>
        <v>0.3010998841378032</v>
      </c>
    </row>
    <row r="628" spans="1:4" x14ac:dyDescent="0.2">
      <c r="A628" s="4">
        <v>39251</v>
      </c>
      <c r="B628" s="5">
        <v>125.09</v>
      </c>
      <c r="C628" s="1">
        <f t="shared" si="18"/>
        <v>3.7383725295940293E-2</v>
      </c>
      <c r="D628" s="1">
        <f t="shared" si="17"/>
        <v>0.31361034030127816</v>
      </c>
    </row>
    <row r="629" spans="1:4" x14ac:dyDescent="0.2">
      <c r="A629" s="4">
        <v>39252</v>
      </c>
      <c r="B629" s="5">
        <v>123.66</v>
      </c>
      <c r="C629" s="1">
        <f t="shared" si="18"/>
        <v>-1.1497614096227318E-2</v>
      </c>
      <c r="D629" s="1">
        <f t="shared" si="17"/>
        <v>0.31383320144330906</v>
      </c>
    </row>
    <row r="630" spans="1:4" x14ac:dyDescent="0.2">
      <c r="A630" s="4">
        <v>39253</v>
      </c>
      <c r="B630" s="5">
        <v>121.55</v>
      </c>
      <c r="C630" s="1">
        <f t="shared" si="18"/>
        <v>-1.721016336829034E-2</v>
      </c>
      <c r="D630" s="1">
        <f t="shared" si="17"/>
        <v>0.31978928737758056</v>
      </c>
    </row>
    <row r="631" spans="1:4" x14ac:dyDescent="0.2">
      <c r="A631" s="4">
        <v>39254</v>
      </c>
      <c r="B631" s="5">
        <v>123.9</v>
      </c>
      <c r="C631" s="1">
        <f t="shared" si="18"/>
        <v>1.9149087872964387E-2</v>
      </c>
      <c r="D631" s="1">
        <f t="shared" si="17"/>
        <v>0.31566323801603879</v>
      </c>
    </row>
    <row r="632" spans="1:4" x14ac:dyDescent="0.2">
      <c r="A632" s="4">
        <v>39255</v>
      </c>
      <c r="B632" s="5">
        <v>123</v>
      </c>
      <c r="C632" s="1">
        <f t="shared" si="18"/>
        <v>-7.2904332626793442E-3</v>
      </c>
      <c r="D632" s="1">
        <f t="shared" si="17"/>
        <v>0.31647315104166074</v>
      </c>
    </row>
    <row r="633" spans="1:4" x14ac:dyDescent="0.2">
      <c r="A633" s="4">
        <v>39258</v>
      </c>
      <c r="B633" s="5">
        <v>122.34</v>
      </c>
      <c r="C633" s="1">
        <f t="shared" si="18"/>
        <v>-5.3803015579986912E-3</v>
      </c>
      <c r="D633" s="1">
        <f t="shared" si="17"/>
        <v>0.30911759977800179</v>
      </c>
    </row>
    <row r="634" spans="1:4" x14ac:dyDescent="0.2">
      <c r="A634" s="4">
        <v>39259</v>
      </c>
      <c r="B634" s="5">
        <v>119.65</v>
      </c>
      <c r="C634" s="1">
        <f t="shared" si="18"/>
        <v>-2.22332394600365E-2</v>
      </c>
      <c r="D634" s="1">
        <f t="shared" si="17"/>
        <v>0.31776625785408974</v>
      </c>
    </row>
    <row r="635" spans="1:4" x14ac:dyDescent="0.2">
      <c r="A635" s="4">
        <v>39260</v>
      </c>
      <c r="B635" s="5">
        <v>121.89</v>
      </c>
      <c r="C635" s="1">
        <f t="shared" si="18"/>
        <v>1.8548184313362602E-2</v>
      </c>
      <c r="D635" s="1">
        <f t="shared" si="17"/>
        <v>0.31608438096587721</v>
      </c>
    </row>
    <row r="636" spans="1:4" x14ac:dyDescent="0.2">
      <c r="A636" s="4">
        <v>39261</v>
      </c>
      <c r="B636" s="5">
        <v>120.56</v>
      </c>
      <c r="C636" s="1">
        <f t="shared" si="18"/>
        <v>-1.0971444349504996E-2</v>
      </c>
      <c r="D636" s="1">
        <f t="shared" si="17"/>
        <v>0.31908012147267328</v>
      </c>
    </row>
    <row r="637" spans="1:4" x14ac:dyDescent="0.2">
      <c r="A637" s="4">
        <v>39262</v>
      </c>
      <c r="B637" s="5">
        <v>122.04</v>
      </c>
      <c r="C637" s="1">
        <f t="shared" si="18"/>
        <v>1.2201305530229014E-2</v>
      </c>
      <c r="D637" s="1">
        <f t="shared" ref="D637:D700" si="19">STDEV(C588:C637)*SQRT($B$2)</f>
        <v>0.31891660629725355</v>
      </c>
    </row>
    <row r="638" spans="1:4" x14ac:dyDescent="0.2">
      <c r="A638" s="4">
        <v>39265</v>
      </c>
      <c r="B638" s="5">
        <v>121.26</v>
      </c>
      <c r="C638" s="1">
        <f t="shared" si="18"/>
        <v>-6.4118592048842109E-3</v>
      </c>
      <c r="D638" s="1">
        <f t="shared" si="19"/>
        <v>0.32063986601269212</v>
      </c>
    </row>
    <row r="639" spans="1:4" x14ac:dyDescent="0.2">
      <c r="A639" s="4">
        <v>39266</v>
      </c>
      <c r="B639" s="5">
        <v>127.17</v>
      </c>
      <c r="C639" s="1">
        <f t="shared" si="18"/>
        <v>4.7587773389070838E-2</v>
      </c>
      <c r="D639" s="1">
        <f t="shared" si="19"/>
        <v>0.33504168315653571</v>
      </c>
    </row>
    <row r="640" spans="1:4" x14ac:dyDescent="0.2">
      <c r="A640" s="4">
        <v>39268</v>
      </c>
      <c r="B640" s="5">
        <v>132.75</v>
      </c>
      <c r="C640" s="1">
        <f t="shared" si="18"/>
        <v>4.294288608939268E-2</v>
      </c>
      <c r="D640" s="1">
        <f t="shared" si="19"/>
        <v>0.34844712893974322</v>
      </c>
    </row>
    <row r="641" spans="1:4" x14ac:dyDescent="0.2">
      <c r="A641" s="4">
        <v>39269</v>
      </c>
      <c r="B641" s="5">
        <v>132.30000000000001</v>
      </c>
      <c r="C641" s="1">
        <f t="shared" si="18"/>
        <v>-3.3955890011381604E-3</v>
      </c>
      <c r="D641" s="1">
        <f t="shared" si="19"/>
        <v>0.3469657989534306</v>
      </c>
    </row>
    <row r="642" spans="1:4" x14ac:dyDescent="0.2">
      <c r="A642" s="4">
        <v>39272</v>
      </c>
      <c r="B642" s="5">
        <v>130.33000000000001</v>
      </c>
      <c r="C642" s="1">
        <f t="shared" si="18"/>
        <v>-1.5002375578281541E-2</v>
      </c>
      <c r="D642" s="1">
        <f t="shared" si="19"/>
        <v>0.34208351896477024</v>
      </c>
    </row>
    <row r="643" spans="1:4" x14ac:dyDescent="0.2">
      <c r="A643" s="4">
        <v>39273</v>
      </c>
      <c r="B643" s="5">
        <v>132.35</v>
      </c>
      <c r="C643" s="1">
        <f t="shared" si="18"/>
        <v>1.5380233130481822E-2</v>
      </c>
      <c r="D643" s="1">
        <f t="shared" si="19"/>
        <v>0.34282437231077045</v>
      </c>
    </row>
    <row r="644" spans="1:4" x14ac:dyDescent="0.2">
      <c r="A644" s="4">
        <v>39274</v>
      </c>
      <c r="B644" s="5">
        <v>132.38999999999999</v>
      </c>
      <c r="C644" s="1">
        <f t="shared" si="18"/>
        <v>3.0218327645509377E-4</v>
      </c>
      <c r="D644" s="1">
        <f t="shared" si="19"/>
        <v>0.34262543330542083</v>
      </c>
    </row>
    <row r="645" spans="1:4" x14ac:dyDescent="0.2">
      <c r="A645" s="4">
        <v>39275</v>
      </c>
      <c r="B645" s="5">
        <v>134.07</v>
      </c>
      <c r="C645" s="1">
        <f t="shared" si="18"/>
        <v>1.2609939663904401E-2</v>
      </c>
      <c r="D645" s="1">
        <f t="shared" si="19"/>
        <v>0.34222296873418673</v>
      </c>
    </row>
    <row r="646" spans="1:4" x14ac:dyDescent="0.2">
      <c r="A646" s="4">
        <v>39276</v>
      </c>
      <c r="B646" s="5">
        <v>137.72999999999999</v>
      </c>
      <c r="C646" s="1">
        <f t="shared" si="18"/>
        <v>2.6933195315770441E-2</v>
      </c>
      <c r="D646" s="1">
        <f t="shared" si="19"/>
        <v>0.34679270703497528</v>
      </c>
    </row>
    <row r="647" spans="1:4" x14ac:dyDescent="0.2">
      <c r="A647" s="4">
        <v>39279</v>
      </c>
      <c r="B647" s="5">
        <v>138.1</v>
      </c>
      <c r="C647" s="1">
        <f t="shared" si="18"/>
        <v>2.6828134860059959E-3</v>
      </c>
      <c r="D647" s="1">
        <f t="shared" si="19"/>
        <v>0.34651742579301764</v>
      </c>
    </row>
    <row r="648" spans="1:4" x14ac:dyDescent="0.2">
      <c r="A648" s="4">
        <v>39280</v>
      </c>
      <c r="B648" s="5">
        <v>138.91</v>
      </c>
      <c r="C648" s="1">
        <f t="shared" si="18"/>
        <v>5.848180994051491E-3</v>
      </c>
      <c r="D648" s="1">
        <f t="shared" si="19"/>
        <v>0.34646283728595445</v>
      </c>
    </row>
    <row r="649" spans="1:4" x14ac:dyDescent="0.2">
      <c r="A649" s="4">
        <v>39281</v>
      </c>
      <c r="B649" s="5">
        <v>138.12</v>
      </c>
      <c r="C649" s="1">
        <f t="shared" si="18"/>
        <v>-5.7033688875063005E-3</v>
      </c>
      <c r="D649" s="1">
        <f t="shared" si="19"/>
        <v>0.34154823777516607</v>
      </c>
    </row>
    <row r="650" spans="1:4" x14ac:dyDescent="0.2">
      <c r="A650" s="4">
        <v>39282</v>
      </c>
      <c r="B650" s="5">
        <v>140</v>
      </c>
      <c r="C650" s="1">
        <f t="shared" si="18"/>
        <v>1.3519550087512591E-2</v>
      </c>
      <c r="D650" s="1">
        <f t="shared" si="19"/>
        <v>0.34191786705810073</v>
      </c>
    </row>
    <row r="651" spans="1:4" x14ac:dyDescent="0.2">
      <c r="A651" s="4">
        <v>39283</v>
      </c>
      <c r="B651" s="5">
        <v>143.75</v>
      </c>
      <c r="C651" s="1">
        <f t="shared" si="18"/>
        <v>2.6433257068155431E-2</v>
      </c>
      <c r="D651" s="1">
        <f t="shared" si="19"/>
        <v>0.34512381529195085</v>
      </c>
    </row>
    <row r="652" spans="1:4" x14ac:dyDescent="0.2">
      <c r="A652" s="4">
        <v>39286</v>
      </c>
      <c r="B652" s="5">
        <v>143.69999999999999</v>
      </c>
      <c r="C652" s="1">
        <f t="shared" ref="C652:C715" si="20">LN(B652/B651)</f>
        <v>-3.478865924806611E-4</v>
      </c>
      <c r="D652" s="1">
        <f t="shared" si="19"/>
        <v>0.34551514095169006</v>
      </c>
    </row>
    <row r="653" spans="1:4" x14ac:dyDescent="0.2">
      <c r="A653" s="4">
        <v>39287</v>
      </c>
      <c r="B653" s="5">
        <v>134.88999999999999</v>
      </c>
      <c r="C653" s="1">
        <f t="shared" si="20"/>
        <v>-6.326816160339091E-2</v>
      </c>
      <c r="D653" s="1">
        <f t="shared" si="19"/>
        <v>0.39205519357671315</v>
      </c>
    </row>
    <row r="654" spans="1:4" x14ac:dyDescent="0.2">
      <c r="A654" s="4">
        <v>39288</v>
      </c>
      <c r="B654" s="5">
        <v>137.26</v>
      </c>
      <c r="C654" s="1">
        <f t="shared" si="20"/>
        <v>1.741730599890039E-2</v>
      </c>
      <c r="D654" s="1">
        <f t="shared" si="19"/>
        <v>0.39363996589407074</v>
      </c>
    </row>
    <row r="655" spans="1:4" x14ac:dyDescent="0.2">
      <c r="A655" s="4">
        <v>39289</v>
      </c>
      <c r="B655" s="5">
        <v>146</v>
      </c>
      <c r="C655" s="1">
        <f t="shared" si="20"/>
        <v>6.1729684227847866E-2</v>
      </c>
      <c r="D655" s="1">
        <f t="shared" si="19"/>
        <v>0.41825999889621696</v>
      </c>
    </row>
    <row r="656" spans="1:4" x14ac:dyDescent="0.2">
      <c r="A656" s="4">
        <v>39290</v>
      </c>
      <c r="B656" s="5">
        <v>143.85</v>
      </c>
      <c r="C656" s="1">
        <f t="shared" si="20"/>
        <v>-1.4835531710779613E-2</v>
      </c>
      <c r="D656" s="1">
        <f t="shared" si="19"/>
        <v>0.42158484102691729</v>
      </c>
    </row>
    <row r="657" spans="1:4" x14ac:dyDescent="0.2">
      <c r="A657" s="4">
        <v>39293</v>
      </c>
      <c r="B657" s="5">
        <v>141.43</v>
      </c>
      <c r="C657" s="1">
        <f t="shared" si="20"/>
        <v>-1.6966194965148416E-2</v>
      </c>
      <c r="D657" s="1">
        <f t="shared" si="19"/>
        <v>0.42432899598295298</v>
      </c>
    </row>
    <row r="658" spans="1:4" x14ac:dyDescent="0.2">
      <c r="A658" s="4">
        <v>39294</v>
      </c>
      <c r="B658" s="5">
        <v>131.76</v>
      </c>
      <c r="C658" s="1">
        <f t="shared" si="20"/>
        <v>-7.0822809163023748E-2</v>
      </c>
      <c r="D658" s="1">
        <f t="shared" si="19"/>
        <v>0.4713408737055389</v>
      </c>
    </row>
    <row r="659" spans="1:4" x14ac:dyDescent="0.2">
      <c r="A659" s="4">
        <v>39295</v>
      </c>
      <c r="B659" s="5">
        <v>135</v>
      </c>
      <c r="C659" s="1">
        <f t="shared" si="20"/>
        <v>2.4292692569044701E-2</v>
      </c>
      <c r="D659" s="1">
        <f t="shared" si="19"/>
        <v>0.4731516063821542</v>
      </c>
    </row>
    <row r="660" spans="1:4" x14ac:dyDescent="0.2">
      <c r="A660" s="4">
        <v>39296</v>
      </c>
      <c r="B660" s="5">
        <v>136.49</v>
      </c>
      <c r="C660" s="1">
        <f t="shared" si="20"/>
        <v>1.0976573429674804E-2</v>
      </c>
      <c r="D660" s="1">
        <f t="shared" si="19"/>
        <v>0.4727601606799029</v>
      </c>
    </row>
    <row r="661" spans="1:4" x14ac:dyDescent="0.2">
      <c r="A661" s="4">
        <v>39297</v>
      </c>
      <c r="B661" s="5">
        <v>131.85</v>
      </c>
      <c r="C661" s="1">
        <f t="shared" si="20"/>
        <v>-3.4586439068808511E-2</v>
      </c>
      <c r="D661" s="1">
        <f t="shared" si="19"/>
        <v>0.48334827241884226</v>
      </c>
    </row>
    <row r="662" spans="1:4" x14ac:dyDescent="0.2">
      <c r="A662" s="4">
        <v>39300</v>
      </c>
      <c r="B662" s="5">
        <v>135.25</v>
      </c>
      <c r="C662" s="1">
        <f t="shared" si="20"/>
        <v>2.5460004927295318E-2</v>
      </c>
      <c r="D662" s="1">
        <f t="shared" si="19"/>
        <v>0.48288430508586905</v>
      </c>
    </row>
    <row r="663" spans="1:4" x14ac:dyDescent="0.2">
      <c r="A663" s="4">
        <v>39301</v>
      </c>
      <c r="B663" s="5">
        <v>135.03</v>
      </c>
      <c r="C663" s="1">
        <f t="shared" si="20"/>
        <v>-1.6279417536398987E-3</v>
      </c>
      <c r="D663" s="1">
        <f t="shared" si="19"/>
        <v>0.47922325979071445</v>
      </c>
    </row>
    <row r="664" spans="1:4" x14ac:dyDescent="0.2">
      <c r="A664" s="4">
        <v>39302</v>
      </c>
      <c r="B664" s="5">
        <v>134.01</v>
      </c>
      <c r="C664" s="1">
        <f t="shared" si="20"/>
        <v>-7.5825519408140567E-3</v>
      </c>
      <c r="D664" s="1">
        <f t="shared" si="19"/>
        <v>0.48007084044270654</v>
      </c>
    </row>
    <row r="665" spans="1:4" x14ac:dyDescent="0.2">
      <c r="A665" s="4">
        <v>39303</v>
      </c>
      <c r="B665" s="5">
        <v>126.39</v>
      </c>
      <c r="C665" s="1">
        <f t="shared" si="20"/>
        <v>-5.8542059373102119E-2</v>
      </c>
      <c r="D665" s="1">
        <f t="shared" si="19"/>
        <v>0.49845443433729469</v>
      </c>
    </row>
    <row r="666" spans="1:4" x14ac:dyDescent="0.2">
      <c r="A666" s="4">
        <v>39304</v>
      </c>
      <c r="B666" s="5">
        <v>125</v>
      </c>
      <c r="C666" s="1">
        <f t="shared" si="20"/>
        <v>-1.1058627356733765E-2</v>
      </c>
      <c r="D666" s="1">
        <f t="shared" si="19"/>
        <v>0.49675993705294419</v>
      </c>
    </row>
    <row r="667" spans="1:4" x14ac:dyDescent="0.2">
      <c r="A667" s="4">
        <v>39307</v>
      </c>
      <c r="B667" s="5">
        <v>127.79</v>
      </c>
      <c r="C667" s="1">
        <f t="shared" si="20"/>
        <v>2.2074554318310912E-2</v>
      </c>
      <c r="D667" s="1">
        <f t="shared" si="19"/>
        <v>0.49561518265330029</v>
      </c>
    </row>
    <row r="668" spans="1:4" x14ac:dyDescent="0.2">
      <c r="A668" s="4">
        <v>39308</v>
      </c>
      <c r="B668" s="5">
        <v>124.03</v>
      </c>
      <c r="C668" s="1">
        <f t="shared" si="20"/>
        <v>-2.986481979337376E-2</v>
      </c>
      <c r="D668" s="1">
        <f t="shared" si="19"/>
        <v>0.49862056007905203</v>
      </c>
    </row>
    <row r="669" spans="1:4" x14ac:dyDescent="0.2">
      <c r="A669" s="4">
        <v>39309</v>
      </c>
      <c r="B669" s="5">
        <v>119.9</v>
      </c>
      <c r="C669" s="1">
        <f t="shared" si="20"/>
        <v>-3.386540979376957E-2</v>
      </c>
      <c r="D669" s="1">
        <f t="shared" si="19"/>
        <v>0.5062225160538022</v>
      </c>
    </row>
    <row r="670" spans="1:4" x14ac:dyDescent="0.2">
      <c r="A670" s="4">
        <v>39310</v>
      </c>
      <c r="B670" s="5">
        <v>117.05</v>
      </c>
      <c r="C670" s="1">
        <f t="shared" si="20"/>
        <v>-2.4056868096548847E-2</v>
      </c>
      <c r="D670" s="1">
        <f t="shared" si="19"/>
        <v>0.50964778680459244</v>
      </c>
    </row>
    <row r="671" spans="1:4" x14ac:dyDescent="0.2">
      <c r="A671" s="4">
        <v>39311</v>
      </c>
      <c r="B671" s="5">
        <v>122.06</v>
      </c>
      <c r="C671" s="1">
        <f t="shared" si="20"/>
        <v>4.191153317942925E-2</v>
      </c>
      <c r="D671" s="1">
        <f t="shared" si="19"/>
        <v>0.52263083536445842</v>
      </c>
    </row>
    <row r="672" spans="1:4" x14ac:dyDescent="0.2">
      <c r="A672" s="4">
        <v>39314</v>
      </c>
      <c r="B672" s="5">
        <v>122.22</v>
      </c>
      <c r="C672" s="1">
        <f t="shared" si="20"/>
        <v>1.3099723504205892E-3</v>
      </c>
      <c r="D672" s="1">
        <f t="shared" si="19"/>
        <v>0.52255142314219205</v>
      </c>
    </row>
    <row r="673" spans="1:4" x14ac:dyDescent="0.2">
      <c r="A673" s="4">
        <v>39315</v>
      </c>
      <c r="B673" s="5">
        <v>127.57</v>
      </c>
      <c r="C673" s="1">
        <f t="shared" si="20"/>
        <v>4.2842534083429064E-2</v>
      </c>
      <c r="D673" s="1">
        <f t="shared" si="19"/>
        <v>0.52635507689488081</v>
      </c>
    </row>
    <row r="674" spans="1:4" x14ac:dyDescent="0.2">
      <c r="A674" s="4">
        <v>39316</v>
      </c>
      <c r="B674" s="5">
        <v>132.51</v>
      </c>
      <c r="C674" s="1">
        <f t="shared" si="20"/>
        <v>3.7992880726346143E-2</v>
      </c>
      <c r="D674" s="1">
        <f t="shared" si="19"/>
        <v>0.53566714843657004</v>
      </c>
    </row>
    <row r="675" spans="1:4" x14ac:dyDescent="0.2">
      <c r="A675" s="4">
        <v>39317</v>
      </c>
      <c r="B675" s="5">
        <v>131.07</v>
      </c>
      <c r="C675" s="1">
        <f t="shared" si="20"/>
        <v>-1.0926582645090608E-2</v>
      </c>
      <c r="D675" s="1">
        <f t="shared" si="19"/>
        <v>0.5320285159936311</v>
      </c>
    </row>
    <row r="676" spans="1:4" x14ac:dyDescent="0.2">
      <c r="A676" s="4">
        <v>39318</v>
      </c>
      <c r="B676" s="5">
        <v>135.30000000000001</v>
      </c>
      <c r="C676" s="1">
        <f t="shared" si="20"/>
        <v>3.1763003545288257E-2</v>
      </c>
      <c r="D676" s="1">
        <f t="shared" si="19"/>
        <v>0.5375674801453636</v>
      </c>
    </row>
    <row r="677" spans="1:4" x14ac:dyDescent="0.2">
      <c r="A677" s="4">
        <v>39321</v>
      </c>
      <c r="B677" s="5">
        <v>132.25</v>
      </c>
      <c r="C677" s="1">
        <f t="shared" si="20"/>
        <v>-2.2800464438333629E-2</v>
      </c>
      <c r="D677" s="1">
        <f t="shared" si="19"/>
        <v>0.5408358572350751</v>
      </c>
    </row>
    <row r="678" spans="1:4" x14ac:dyDescent="0.2">
      <c r="A678" s="4">
        <v>39322</v>
      </c>
      <c r="B678" s="5">
        <v>126.82</v>
      </c>
      <c r="C678" s="1">
        <f t="shared" si="20"/>
        <v>-4.1925312466523257E-2</v>
      </c>
      <c r="D678" s="1">
        <f t="shared" si="19"/>
        <v>0.54447048676440124</v>
      </c>
    </row>
    <row r="679" spans="1:4" x14ac:dyDescent="0.2">
      <c r="A679" s="4">
        <v>39323</v>
      </c>
      <c r="B679" s="5">
        <v>134.08000000000001</v>
      </c>
      <c r="C679" s="1">
        <f t="shared" si="20"/>
        <v>5.5667878461887532E-2</v>
      </c>
      <c r="D679" s="1">
        <f t="shared" si="19"/>
        <v>0.56356026649252577</v>
      </c>
    </row>
    <row r="680" spans="1:4" x14ac:dyDescent="0.2">
      <c r="A680" s="4">
        <v>39324</v>
      </c>
      <c r="B680" s="5">
        <v>136.25</v>
      </c>
      <c r="C680" s="1">
        <f t="shared" si="20"/>
        <v>1.6054796809580545E-2</v>
      </c>
      <c r="D680" s="1">
        <f t="shared" si="19"/>
        <v>0.56244748648578746</v>
      </c>
    </row>
    <row r="681" spans="1:4" x14ac:dyDescent="0.2">
      <c r="A681" s="4">
        <v>39325</v>
      </c>
      <c r="B681" s="5">
        <v>138.47999999999999</v>
      </c>
      <c r="C681" s="1">
        <f t="shared" si="20"/>
        <v>1.6234477324600229E-2</v>
      </c>
      <c r="D681" s="1">
        <f t="shared" si="19"/>
        <v>0.56185126755398518</v>
      </c>
    </row>
    <row r="682" spans="1:4" x14ac:dyDescent="0.2">
      <c r="A682" s="4">
        <v>39329</v>
      </c>
      <c r="B682" s="5">
        <v>144.16</v>
      </c>
      <c r="C682" s="1">
        <f t="shared" si="20"/>
        <v>4.0197882992073997E-2</v>
      </c>
      <c r="D682" s="1">
        <f t="shared" si="19"/>
        <v>0.57044490102802259</v>
      </c>
    </row>
    <row r="683" spans="1:4" x14ac:dyDescent="0.2">
      <c r="A683" s="4">
        <v>39330</v>
      </c>
      <c r="B683" s="5">
        <v>136.76</v>
      </c>
      <c r="C683" s="1">
        <f t="shared" si="20"/>
        <v>-5.2696229088927286E-2</v>
      </c>
      <c r="D683" s="1">
        <f t="shared" si="19"/>
        <v>0.58972975030519392</v>
      </c>
    </row>
    <row r="684" spans="1:4" x14ac:dyDescent="0.2">
      <c r="A684" s="4">
        <v>39331</v>
      </c>
      <c r="B684" s="5">
        <v>135.01</v>
      </c>
      <c r="C684" s="1">
        <f t="shared" si="20"/>
        <v>-1.2878715001945772E-2</v>
      </c>
      <c r="D684" s="1">
        <f t="shared" si="19"/>
        <v>0.58737629784270695</v>
      </c>
    </row>
    <row r="685" spans="1:4" x14ac:dyDescent="0.2">
      <c r="A685" s="4">
        <v>39332</v>
      </c>
      <c r="B685" s="5">
        <v>131.77000000000001</v>
      </c>
      <c r="C685" s="1">
        <f t="shared" si="20"/>
        <v>-2.42908712119938E-2</v>
      </c>
      <c r="D685" s="1">
        <f t="shared" si="19"/>
        <v>0.59000990593395874</v>
      </c>
    </row>
    <row r="686" spans="1:4" x14ac:dyDescent="0.2">
      <c r="A686" s="4">
        <v>39335</v>
      </c>
      <c r="B686" s="5">
        <v>136.71</v>
      </c>
      <c r="C686" s="1">
        <f t="shared" si="20"/>
        <v>3.6803915386740084E-2</v>
      </c>
      <c r="D686" s="1">
        <f t="shared" si="19"/>
        <v>0.59653614772024133</v>
      </c>
    </row>
    <row r="687" spans="1:4" x14ac:dyDescent="0.2">
      <c r="A687" s="4">
        <v>39336</v>
      </c>
      <c r="B687" s="5">
        <v>135.49</v>
      </c>
      <c r="C687" s="1">
        <f t="shared" si="20"/>
        <v>-8.9640570855611425E-3</v>
      </c>
      <c r="D687" s="1">
        <f t="shared" si="19"/>
        <v>0.59671689914201131</v>
      </c>
    </row>
    <row r="688" spans="1:4" x14ac:dyDescent="0.2">
      <c r="A688" s="4">
        <v>39337</v>
      </c>
      <c r="B688" s="5">
        <v>136.85</v>
      </c>
      <c r="C688" s="1">
        <f t="shared" si="20"/>
        <v>9.9875986283481915E-3</v>
      </c>
      <c r="D688" s="1">
        <f t="shared" si="19"/>
        <v>0.59662126637876089</v>
      </c>
    </row>
    <row r="689" spans="1:4" x14ac:dyDescent="0.2">
      <c r="A689" s="4">
        <v>39338</v>
      </c>
      <c r="B689" s="5">
        <v>137.19999999999999</v>
      </c>
      <c r="C689" s="1">
        <f t="shared" si="20"/>
        <v>2.5542798050967007E-3</v>
      </c>
      <c r="D689" s="1">
        <f t="shared" si="19"/>
        <v>0.58348725348156683</v>
      </c>
    </row>
    <row r="690" spans="1:4" x14ac:dyDescent="0.2">
      <c r="A690" s="4">
        <v>39339</v>
      </c>
      <c r="B690" s="5">
        <v>138.81</v>
      </c>
      <c r="C690" s="1">
        <f t="shared" si="20"/>
        <v>1.1666376295233148E-2</v>
      </c>
      <c r="D690" s="1">
        <f t="shared" si="19"/>
        <v>0.5729714997940083</v>
      </c>
    </row>
    <row r="691" spans="1:4" x14ac:dyDescent="0.2">
      <c r="A691" s="4">
        <v>39342</v>
      </c>
      <c r="B691" s="5">
        <v>138.41</v>
      </c>
      <c r="C691" s="1">
        <f t="shared" si="20"/>
        <v>-2.8857966784074014E-3</v>
      </c>
      <c r="D691" s="1">
        <f t="shared" si="19"/>
        <v>0.57294473316537542</v>
      </c>
    </row>
    <row r="692" spans="1:4" x14ac:dyDescent="0.2">
      <c r="A692" s="4">
        <v>39343</v>
      </c>
      <c r="B692" s="5">
        <v>140.91999999999999</v>
      </c>
      <c r="C692" s="1">
        <f t="shared" si="20"/>
        <v>1.7972058564426251E-2</v>
      </c>
      <c r="D692" s="1">
        <f t="shared" si="19"/>
        <v>0.57305281422068655</v>
      </c>
    </row>
    <row r="693" spans="1:4" x14ac:dyDescent="0.2">
      <c r="A693" s="4">
        <v>39344</v>
      </c>
      <c r="B693" s="5">
        <v>140.77000000000001</v>
      </c>
      <c r="C693" s="1">
        <f t="shared" si="20"/>
        <v>-1.0650006331626963E-3</v>
      </c>
      <c r="D693" s="1">
        <f t="shared" si="19"/>
        <v>0.57182026868544733</v>
      </c>
    </row>
    <row r="694" spans="1:4" x14ac:dyDescent="0.2">
      <c r="A694" s="4">
        <v>39345</v>
      </c>
      <c r="B694" s="5">
        <v>140.31</v>
      </c>
      <c r="C694" s="1">
        <f t="shared" si="20"/>
        <v>-3.2730924339694615E-3</v>
      </c>
      <c r="D694" s="1">
        <f t="shared" si="19"/>
        <v>0.57194522566400918</v>
      </c>
    </row>
    <row r="695" spans="1:4" x14ac:dyDescent="0.2">
      <c r="A695" s="4">
        <v>39346</v>
      </c>
      <c r="B695" s="5">
        <v>144.15</v>
      </c>
      <c r="C695" s="1">
        <f t="shared" si="20"/>
        <v>2.700016367850663E-2</v>
      </c>
      <c r="D695" s="1">
        <f t="shared" si="19"/>
        <v>0.57540183484585072</v>
      </c>
    </row>
    <row r="696" spans="1:4" x14ac:dyDescent="0.2">
      <c r="A696" s="4">
        <v>39349</v>
      </c>
      <c r="B696" s="5">
        <v>148.28</v>
      </c>
      <c r="C696" s="1">
        <f t="shared" si="20"/>
        <v>2.8247954198120394E-2</v>
      </c>
      <c r="D696" s="1">
        <f t="shared" si="19"/>
        <v>0.57584636692856461</v>
      </c>
    </row>
    <row r="697" spans="1:4" x14ac:dyDescent="0.2">
      <c r="A697" s="4">
        <v>39350</v>
      </c>
      <c r="B697" s="5">
        <v>153.18</v>
      </c>
      <c r="C697" s="1">
        <f t="shared" si="20"/>
        <v>3.2511322198915914E-2</v>
      </c>
      <c r="D697" s="1">
        <f t="shared" si="19"/>
        <v>0.58191955192914446</v>
      </c>
    </row>
    <row r="698" spans="1:4" x14ac:dyDescent="0.2">
      <c r="A698" s="4">
        <v>39351</v>
      </c>
      <c r="B698" s="5">
        <v>152.77000000000001</v>
      </c>
      <c r="C698" s="1">
        <f t="shared" si="20"/>
        <v>-2.6801781038159923E-3</v>
      </c>
      <c r="D698" s="1">
        <f t="shared" si="19"/>
        <v>0.5819635920664834</v>
      </c>
    </row>
    <row r="699" spans="1:4" x14ac:dyDescent="0.2">
      <c r="A699" s="4">
        <v>39352</v>
      </c>
      <c r="B699" s="5">
        <v>154.5</v>
      </c>
      <c r="C699" s="1">
        <f t="shared" si="20"/>
        <v>1.126057396016867E-2</v>
      </c>
      <c r="D699" s="1">
        <f t="shared" si="19"/>
        <v>0.58211704592094327</v>
      </c>
    </row>
    <row r="700" spans="1:4" x14ac:dyDescent="0.2">
      <c r="A700" s="4">
        <v>39353</v>
      </c>
      <c r="B700" s="5">
        <v>153.47</v>
      </c>
      <c r="C700" s="1">
        <f t="shared" si="20"/>
        <v>-6.688988150796652E-3</v>
      </c>
      <c r="D700" s="1">
        <f t="shared" si="19"/>
        <v>0.58176112440232508</v>
      </c>
    </row>
    <row r="701" spans="1:4" x14ac:dyDescent="0.2">
      <c r="A701" s="4">
        <v>39356</v>
      </c>
      <c r="B701" s="5">
        <v>156.34</v>
      </c>
      <c r="C701" s="1">
        <f t="shared" si="20"/>
        <v>1.8528014605180942E-2</v>
      </c>
      <c r="D701" s="1">
        <f t="shared" ref="D701:D764" si="21">STDEV(C652:C701)*SQRT($B$2)</f>
        <v>0.57965979999291817</v>
      </c>
    </row>
    <row r="702" spans="1:4" x14ac:dyDescent="0.2">
      <c r="A702" s="4">
        <v>39357</v>
      </c>
      <c r="B702" s="5">
        <v>158.44999999999999</v>
      </c>
      <c r="C702" s="1">
        <f t="shared" si="20"/>
        <v>1.3405963344745376E-2</v>
      </c>
      <c r="D702" s="1">
        <f t="shared" si="21"/>
        <v>0.58049208839583866</v>
      </c>
    </row>
    <row r="703" spans="1:4" x14ac:dyDescent="0.2">
      <c r="A703" s="4">
        <v>39358</v>
      </c>
      <c r="B703" s="5">
        <v>157.91999999999999</v>
      </c>
      <c r="C703" s="1">
        <f t="shared" si="20"/>
        <v>-3.3505104517583583E-3</v>
      </c>
      <c r="D703" s="1">
        <f t="shared" si="21"/>
        <v>0.55223017428577248</v>
      </c>
    </row>
    <row r="704" spans="1:4" x14ac:dyDescent="0.2">
      <c r="A704" s="4">
        <v>39359</v>
      </c>
      <c r="B704" s="5">
        <v>156.24</v>
      </c>
      <c r="C704" s="1">
        <f t="shared" si="20"/>
        <v>-1.0695289116747806E-2</v>
      </c>
      <c r="D704" s="1">
        <f t="shared" si="21"/>
        <v>0.55204449966425106</v>
      </c>
    </row>
    <row r="705" spans="1:4" x14ac:dyDescent="0.2">
      <c r="A705" s="4">
        <v>39360</v>
      </c>
      <c r="B705" s="5">
        <v>161.44999999999999</v>
      </c>
      <c r="C705" s="1">
        <f t="shared" si="20"/>
        <v>3.280221063586055E-2</v>
      </c>
      <c r="D705" s="1">
        <f t="shared" si="21"/>
        <v>0.53420505796252249</v>
      </c>
    </row>
    <row r="706" spans="1:4" x14ac:dyDescent="0.2">
      <c r="A706" s="4">
        <v>39363</v>
      </c>
      <c r="B706" s="5">
        <v>167.91</v>
      </c>
      <c r="C706" s="1">
        <f t="shared" si="20"/>
        <v>3.9232624367093807E-2</v>
      </c>
      <c r="D706" s="1">
        <f t="shared" si="21"/>
        <v>0.54142868157159896</v>
      </c>
    </row>
    <row r="707" spans="1:4" x14ac:dyDescent="0.2">
      <c r="A707" s="4">
        <v>39364</v>
      </c>
      <c r="B707" s="5">
        <v>167.86</v>
      </c>
      <c r="C707" s="1">
        <f t="shared" si="20"/>
        <v>-2.9782291669631044E-4</v>
      </c>
      <c r="D707" s="1">
        <f t="shared" si="21"/>
        <v>0.538694701086878</v>
      </c>
    </row>
    <row r="708" spans="1:4" x14ac:dyDescent="0.2">
      <c r="A708" s="4">
        <v>39365</v>
      </c>
      <c r="B708" s="5">
        <v>166.79</v>
      </c>
      <c r="C708" s="1">
        <f t="shared" si="20"/>
        <v>-6.3947625655998526E-3</v>
      </c>
      <c r="D708" s="1">
        <f t="shared" si="21"/>
        <v>0.49922554499208255</v>
      </c>
    </row>
    <row r="709" spans="1:4" x14ac:dyDescent="0.2">
      <c r="A709" s="4">
        <v>39366</v>
      </c>
      <c r="B709" s="5">
        <v>162.22999999999999</v>
      </c>
      <c r="C709" s="1">
        <f t="shared" si="20"/>
        <v>-2.772045466677427E-2</v>
      </c>
      <c r="D709" s="1">
        <f t="shared" si="21"/>
        <v>0.50379046010548023</v>
      </c>
    </row>
    <row r="710" spans="1:4" x14ac:dyDescent="0.2">
      <c r="A710" s="4">
        <v>39367</v>
      </c>
      <c r="B710" s="5">
        <v>167.25</v>
      </c>
      <c r="C710" s="1">
        <f t="shared" si="20"/>
        <v>3.0474617586030289E-2</v>
      </c>
      <c r="D710" s="1">
        <f t="shared" si="21"/>
        <v>0.50862670109017316</v>
      </c>
    </row>
    <row r="711" spans="1:4" x14ac:dyDescent="0.2">
      <c r="A711" s="4">
        <v>39370</v>
      </c>
      <c r="B711" s="5">
        <v>166.98</v>
      </c>
      <c r="C711" s="1">
        <f t="shared" si="20"/>
        <v>-1.6156542424834509E-3</v>
      </c>
      <c r="D711" s="1">
        <f t="shared" si="21"/>
        <v>0.49764583718465449</v>
      </c>
    </row>
    <row r="712" spans="1:4" x14ac:dyDescent="0.2">
      <c r="A712" s="4">
        <v>39371</v>
      </c>
      <c r="B712" s="5">
        <v>169.58</v>
      </c>
      <c r="C712" s="1">
        <f t="shared" si="20"/>
        <v>1.5450747110002652E-2</v>
      </c>
      <c r="D712" s="1">
        <f t="shared" si="21"/>
        <v>0.49526826796711726</v>
      </c>
    </row>
    <row r="713" spans="1:4" x14ac:dyDescent="0.2">
      <c r="A713" s="4">
        <v>39372</v>
      </c>
      <c r="B713" s="5">
        <v>172.75</v>
      </c>
      <c r="C713" s="1">
        <f t="shared" si="20"/>
        <v>1.852067077192231E-2</v>
      </c>
      <c r="D713" s="1">
        <f t="shared" si="21"/>
        <v>0.49639456685995936</v>
      </c>
    </row>
    <row r="714" spans="1:4" x14ac:dyDescent="0.2">
      <c r="A714" s="4">
        <v>39373</v>
      </c>
      <c r="B714" s="5">
        <v>173.5</v>
      </c>
      <c r="C714" s="1">
        <f t="shared" si="20"/>
        <v>4.3321367391345169E-3</v>
      </c>
      <c r="D714" s="1">
        <f t="shared" si="21"/>
        <v>0.49520033888659304</v>
      </c>
    </row>
    <row r="715" spans="1:4" x14ac:dyDescent="0.2">
      <c r="A715" s="4">
        <v>39374</v>
      </c>
      <c r="B715" s="5">
        <v>170.42</v>
      </c>
      <c r="C715" s="1">
        <f t="shared" si="20"/>
        <v>-1.7911620987104068E-2</v>
      </c>
      <c r="D715" s="1">
        <f t="shared" si="21"/>
        <v>0.46766626392020783</v>
      </c>
    </row>
    <row r="716" spans="1:4" x14ac:dyDescent="0.2">
      <c r="A716" s="4">
        <v>39377</v>
      </c>
      <c r="B716" s="5">
        <v>174.36</v>
      </c>
      <c r="C716" s="1">
        <f t="shared" ref="C716:C779" si="22">LN(B716/B715)</f>
        <v>2.2856148970382E-2</v>
      </c>
      <c r="D716" s="1">
        <f t="shared" si="21"/>
        <v>0.46744026821735279</v>
      </c>
    </row>
    <row r="717" spans="1:4" x14ac:dyDescent="0.2">
      <c r="A717" s="4">
        <v>39378</v>
      </c>
      <c r="B717" s="5">
        <v>186.16</v>
      </c>
      <c r="C717" s="1">
        <f t="shared" si="22"/>
        <v>6.5484391623844354E-2</v>
      </c>
      <c r="D717" s="1">
        <f t="shared" si="21"/>
        <v>0.49216661225439406</v>
      </c>
    </row>
    <row r="718" spans="1:4" x14ac:dyDescent="0.2">
      <c r="A718" s="4">
        <v>39379</v>
      </c>
      <c r="B718" s="5">
        <v>185.93</v>
      </c>
      <c r="C718" s="1">
        <f t="shared" si="22"/>
        <v>-1.2362602020648159E-3</v>
      </c>
      <c r="D718" s="1">
        <f t="shared" si="21"/>
        <v>0.48193802555047766</v>
      </c>
    </row>
    <row r="719" spans="1:4" x14ac:dyDescent="0.2">
      <c r="A719" s="4">
        <v>39380</v>
      </c>
      <c r="B719" s="5">
        <v>182.78</v>
      </c>
      <c r="C719" s="1">
        <f t="shared" si="22"/>
        <v>-1.7087014947915785E-2</v>
      </c>
      <c r="D719" s="1">
        <f t="shared" si="21"/>
        <v>0.47310701482391887</v>
      </c>
    </row>
    <row r="720" spans="1:4" x14ac:dyDescent="0.2">
      <c r="A720" s="4">
        <v>39381</v>
      </c>
      <c r="B720" s="5">
        <v>184.7</v>
      </c>
      <c r="C720" s="1">
        <f t="shared" si="22"/>
        <v>1.0449643361138603E-2</v>
      </c>
      <c r="D720" s="1">
        <f t="shared" si="21"/>
        <v>0.4645646638237052</v>
      </c>
    </row>
    <row r="721" spans="1:4" x14ac:dyDescent="0.2">
      <c r="A721" s="4">
        <v>39384</v>
      </c>
      <c r="B721" s="5">
        <v>185.09</v>
      </c>
      <c r="C721" s="1">
        <f t="shared" si="22"/>
        <v>2.1093060634311605E-3</v>
      </c>
      <c r="D721" s="1">
        <f t="shared" si="21"/>
        <v>0.45600681498642226</v>
      </c>
    </row>
    <row r="722" spans="1:4" x14ac:dyDescent="0.2">
      <c r="A722" s="4">
        <v>39385</v>
      </c>
      <c r="B722" s="5">
        <v>187</v>
      </c>
      <c r="C722" s="1">
        <f t="shared" si="22"/>
        <v>1.026642358596129E-2</v>
      </c>
      <c r="D722" s="1">
        <f t="shared" si="21"/>
        <v>0.45562216768538472</v>
      </c>
    </row>
    <row r="723" spans="1:4" x14ac:dyDescent="0.2">
      <c r="A723" s="4">
        <v>39386</v>
      </c>
      <c r="B723" s="5">
        <v>189.95</v>
      </c>
      <c r="C723" s="1">
        <f t="shared" si="22"/>
        <v>1.5652262779047819E-2</v>
      </c>
      <c r="D723" s="1">
        <f t="shared" si="21"/>
        <v>0.4461831316616493</v>
      </c>
    </row>
    <row r="724" spans="1:4" x14ac:dyDescent="0.2">
      <c r="A724" s="4">
        <v>39387</v>
      </c>
      <c r="B724" s="5">
        <v>187.44</v>
      </c>
      <c r="C724" s="1">
        <f t="shared" si="22"/>
        <v>-1.3302085434094269E-2</v>
      </c>
      <c r="D724" s="1">
        <f t="shared" si="21"/>
        <v>0.44197011127146735</v>
      </c>
    </row>
    <row r="725" spans="1:4" x14ac:dyDescent="0.2">
      <c r="A725" s="4">
        <v>39388</v>
      </c>
      <c r="B725" s="5">
        <v>187.87</v>
      </c>
      <c r="C725" s="1">
        <f t="shared" si="22"/>
        <v>2.2914400796674359E-3</v>
      </c>
      <c r="D725" s="1">
        <f t="shared" si="21"/>
        <v>0.43942630394154908</v>
      </c>
    </row>
    <row r="726" spans="1:4" x14ac:dyDescent="0.2">
      <c r="A726" s="4">
        <v>39391</v>
      </c>
      <c r="B726" s="5">
        <v>186.18</v>
      </c>
      <c r="C726" s="1">
        <f t="shared" si="22"/>
        <v>-9.0362865908637114E-3</v>
      </c>
      <c r="D726" s="1">
        <f t="shared" si="21"/>
        <v>0.4362535008504127</v>
      </c>
    </row>
    <row r="727" spans="1:4" x14ac:dyDescent="0.2">
      <c r="A727" s="4">
        <v>39392</v>
      </c>
      <c r="B727" s="5">
        <v>191.79</v>
      </c>
      <c r="C727" s="1">
        <f t="shared" si="22"/>
        <v>2.9687075758401158E-2</v>
      </c>
      <c r="D727" s="1">
        <f t="shared" si="21"/>
        <v>0.43313610573142441</v>
      </c>
    </row>
    <row r="728" spans="1:4" x14ac:dyDescent="0.2">
      <c r="A728" s="4">
        <v>39393</v>
      </c>
      <c r="B728" s="5">
        <v>186.3</v>
      </c>
      <c r="C728" s="1">
        <f t="shared" si="22"/>
        <v>-2.9042745839202279E-2</v>
      </c>
      <c r="D728" s="1">
        <f t="shared" si="21"/>
        <v>0.42349160193696123</v>
      </c>
    </row>
    <row r="729" spans="1:4" x14ac:dyDescent="0.2">
      <c r="A729" s="4">
        <v>39394</v>
      </c>
      <c r="B729" s="5">
        <v>175.47</v>
      </c>
      <c r="C729" s="1">
        <f t="shared" si="22"/>
        <v>-5.9890189484498681E-2</v>
      </c>
      <c r="D729" s="1">
        <f t="shared" si="21"/>
        <v>0.44071789453044607</v>
      </c>
    </row>
    <row r="730" spans="1:4" x14ac:dyDescent="0.2">
      <c r="A730" s="4">
        <v>39395</v>
      </c>
      <c r="B730" s="5">
        <v>165.37</v>
      </c>
      <c r="C730" s="1">
        <f t="shared" si="22"/>
        <v>-5.9282700460939051E-2</v>
      </c>
      <c r="D730" s="1">
        <f t="shared" si="21"/>
        <v>0.47295320586999157</v>
      </c>
    </row>
    <row r="731" spans="1:4" x14ac:dyDescent="0.2">
      <c r="A731" s="4">
        <v>39398</v>
      </c>
      <c r="B731" s="5">
        <v>153.76</v>
      </c>
      <c r="C731" s="1">
        <f t="shared" si="22"/>
        <v>-7.2792442440122701E-2</v>
      </c>
      <c r="D731" s="1">
        <f t="shared" si="21"/>
        <v>0.51492612899512225</v>
      </c>
    </row>
    <row r="732" spans="1:4" x14ac:dyDescent="0.2">
      <c r="A732" s="4">
        <v>39399</v>
      </c>
      <c r="B732" s="5">
        <v>169.96</v>
      </c>
      <c r="C732" s="1">
        <f t="shared" si="22"/>
        <v>0.10017017002462865</v>
      </c>
      <c r="D732" s="1">
        <f t="shared" si="21"/>
        <v>0.57048199816663103</v>
      </c>
    </row>
    <row r="733" spans="1:4" x14ac:dyDescent="0.2">
      <c r="A733" s="4">
        <v>39400</v>
      </c>
      <c r="B733" s="5">
        <v>166.11</v>
      </c>
      <c r="C733" s="1">
        <f t="shared" si="22"/>
        <v>-2.2912895743625317E-2</v>
      </c>
      <c r="D733" s="1">
        <f t="shared" si="21"/>
        <v>0.55414999533778353</v>
      </c>
    </row>
    <row r="734" spans="1:4" x14ac:dyDescent="0.2">
      <c r="A734" s="4">
        <v>39401</v>
      </c>
      <c r="B734" s="5">
        <v>164.3</v>
      </c>
      <c r="C734" s="1">
        <f t="shared" si="22"/>
        <v>-1.0956194459763126E-2</v>
      </c>
      <c r="D734" s="1">
        <f t="shared" si="21"/>
        <v>0.55374087774632175</v>
      </c>
    </row>
    <row r="735" spans="1:4" x14ac:dyDescent="0.2">
      <c r="A735" s="4">
        <v>39402</v>
      </c>
      <c r="B735" s="5">
        <v>166.39</v>
      </c>
      <c r="C735" s="1">
        <f t="shared" si="22"/>
        <v>1.2640405384193408E-2</v>
      </c>
      <c r="D735" s="1">
        <f t="shared" si="21"/>
        <v>0.5486894675069659</v>
      </c>
    </row>
    <row r="736" spans="1:4" x14ac:dyDescent="0.2">
      <c r="A736" s="4">
        <v>39405</v>
      </c>
      <c r="B736" s="5">
        <v>163.95</v>
      </c>
      <c r="C736" s="1">
        <f t="shared" si="22"/>
        <v>-1.4772927136758592E-2</v>
      </c>
      <c r="D736" s="1">
        <f t="shared" si="21"/>
        <v>0.54386080284849558</v>
      </c>
    </row>
    <row r="737" spans="1:4" x14ac:dyDescent="0.2">
      <c r="A737" s="4">
        <v>39406</v>
      </c>
      <c r="B737" s="5">
        <v>168.85</v>
      </c>
      <c r="C737" s="1">
        <f t="shared" si="22"/>
        <v>2.9449243540919559E-2</v>
      </c>
      <c r="D737" s="1">
        <f t="shared" si="21"/>
        <v>0.54712586312707523</v>
      </c>
    </row>
    <row r="738" spans="1:4" x14ac:dyDescent="0.2">
      <c r="A738" s="4">
        <v>39407</v>
      </c>
      <c r="B738" s="5">
        <v>168.46</v>
      </c>
      <c r="C738" s="1">
        <f t="shared" si="22"/>
        <v>-2.3124139443590087E-3</v>
      </c>
      <c r="D738" s="1">
        <f t="shared" si="21"/>
        <v>0.54719982015459379</v>
      </c>
    </row>
    <row r="739" spans="1:4" x14ac:dyDescent="0.2">
      <c r="A739" s="4">
        <v>39409</v>
      </c>
      <c r="B739" s="5">
        <v>171.54</v>
      </c>
      <c r="C739" s="1">
        <f t="shared" si="22"/>
        <v>1.8118142675057704E-2</v>
      </c>
      <c r="D739" s="1">
        <f t="shared" si="21"/>
        <v>0.54847470294979173</v>
      </c>
    </row>
    <row r="740" spans="1:4" x14ac:dyDescent="0.2">
      <c r="A740" s="4">
        <v>39412</v>
      </c>
      <c r="B740" s="5">
        <v>172.54</v>
      </c>
      <c r="C740" s="1">
        <f t="shared" si="22"/>
        <v>5.8126180861572015E-3</v>
      </c>
      <c r="D740" s="1">
        <f t="shared" si="21"/>
        <v>0.54813031390245048</v>
      </c>
    </row>
    <row r="741" spans="1:4" x14ac:dyDescent="0.2">
      <c r="A741" s="4">
        <v>39413</v>
      </c>
      <c r="B741" s="5">
        <v>174.81</v>
      </c>
      <c r="C741" s="1">
        <f t="shared" si="22"/>
        <v>1.3070576174659792E-2</v>
      </c>
      <c r="D741" s="1">
        <f t="shared" si="21"/>
        <v>0.54825658184837656</v>
      </c>
    </row>
    <row r="742" spans="1:4" x14ac:dyDescent="0.2">
      <c r="A742" s="4">
        <v>39414</v>
      </c>
      <c r="B742" s="5">
        <v>180.22</v>
      </c>
      <c r="C742" s="1">
        <f t="shared" si="22"/>
        <v>3.0478656983798837E-2</v>
      </c>
      <c r="D742" s="1">
        <f t="shared" si="21"/>
        <v>0.55154842274213189</v>
      </c>
    </row>
    <row r="743" spans="1:4" x14ac:dyDescent="0.2">
      <c r="A743" s="4">
        <v>39415</v>
      </c>
      <c r="B743" s="5">
        <v>184.29</v>
      </c>
      <c r="C743" s="1">
        <f t="shared" si="22"/>
        <v>2.2332277037054538E-2</v>
      </c>
      <c r="D743" s="1">
        <f t="shared" si="21"/>
        <v>0.55327734152126162</v>
      </c>
    </row>
    <row r="744" spans="1:4" x14ac:dyDescent="0.2">
      <c r="A744" s="4">
        <v>39416</v>
      </c>
      <c r="B744" s="5">
        <v>182.22</v>
      </c>
      <c r="C744" s="1">
        <f t="shared" si="22"/>
        <v>-1.1295855558233247E-2</v>
      </c>
      <c r="D744" s="1">
        <f t="shared" si="21"/>
        <v>0.55463576977712192</v>
      </c>
    </row>
    <row r="745" spans="1:4" x14ac:dyDescent="0.2">
      <c r="A745" s="4">
        <v>39419</v>
      </c>
      <c r="B745" s="5">
        <v>178.86</v>
      </c>
      <c r="C745" s="1">
        <f t="shared" si="22"/>
        <v>-1.8611371367677217E-2</v>
      </c>
      <c r="D745" s="1">
        <f t="shared" si="21"/>
        <v>0.55498893179321851</v>
      </c>
    </row>
    <row r="746" spans="1:4" x14ac:dyDescent="0.2">
      <c r="A746" s="4">
        <v>39420</v>
      </c>
      <c r="B746" s="5">
        <v>179.81</v>
      </c>
      <c r="C746" s="1">
        <f t="shared" si="22"/>
        <v>5.2973609255111244E-3</v>
      </c>
      <c r="D746" s="1">
        <f t="shared" si="21"/>
        <v>0.55106692002740421</v>
      </c>
    </row>
    <row r="747" spans="1:4" x14ac:dyDescent="0.2">
      <c r="A747" s="4">
        <v>39421</v>
      </c>
      <c r="B747" s="5">
        <v>185.5</v>
      </c>
      <c r="C747" s="1">
        <f t="shared" si="22"/>
        <v>3.1154144203943607E-2</v>
      </c>
      <c r="D747" s="1">
        <f t="shared" si="21"/>
        <v>0.55055318417388011</v>
      </c>
    </row>
    <row r="748" spans="1:4" x14ac:dyDescent="0.2">
      <c r="A748" s="4">
        <v>39422</v>
      </c>
      <c r="B748" s="5">
        <v>189.95</v>
      </c>
      <c r="C748" s="1">
        <f t="shared" si="22"/>
        <v>2.3705997586144605E-2</v>
      </c>
      <c r="D748" s="1">
        <f t="shared" si="21"/>
        <v>0.55284048321245227</v>
      </c>
    </row>
    <row r="749" spans="1:4" x14ac:dyDescent="0.2">
      <c r="A749" s="4">
        <v>39423</v>
      </c>
      <c r="B749" s="5">
        <v>194.3</v>
      </c>
      <c r="C749" s="1">
        <f t="shared" si="22"/>
        <v>2.2642476749759971E-2</v>
      </c>
      <c r="D749" s="1">
        <f t="shared" si="21"/>
        <v>0.55475129034114057</v>
      </c>
    </row>
    <row r="750" spans="1:4" x14ac:dyDescent="0.2">
      <c r="A750" s="4">
        <v>39426</v>
      </c>
      <c r="B750" s="5">
        <v>194.21</v>
      </c>
      <c r="C750" s="1">
        <f t="shared" si="22"/>
        <v>-4.6330854603436931E-4</v>
      </c>
      <c r="D750" s="1">
        <f t="shared" si="21"/>
        <v>0.55406348872051858</v>
      </c>
    </row>
    <row r="751" spans="1:4" x14ac:dyDescent="0.2">
      <c r="A751" s="4">
        <v>39427</v>
      </c>
      <c r="B751" s="5">
        <v>188.54</v>
      </c>
      <c r="C751" s="1">
        <f t="shared" si="22"/>
        <v>-2.9629861869355831E-2</v>
      </c>
      <c r="D751" s="1">
        <f t="shared" si="21"/>
        <v>0.56035849849271691</v>
      </c>
    </row>
    <row r="752" spans="1:4" x14ac:dyDescent="0.2">
      <c r="A752" s="4">
        <v>39428</v>
      </c>
      <c r="B752" s="5">
        <v>190.86</v>
      </c>
      <c r="C752" s="1">
        <f t="shared" si="22"/>
        <v>1.2229989021103666E-2</v>
      </c>
      <c r="D752" s="1">
        <f t="shared" si="21"/>
        <v>0.56021647174771405</v>
      </c>
    </row>
    <row r="753" spans="1:4" x14ac:dyDescent="0.2">
      <c r="A753" s="4">
        <v>39429</v>
      </c>
      <c r="B753" s="5">
        <v>191.83</v>
      </c>
      <c r="C753" s="1">
        <f t="shared" si="22"/>
        <v>5.0693881591387215E-3</v>
      </c>
      <c r="D753" s="1">
        <f t="shared" si="21"/>
        <v>0.55988646433030054</v>
      </c>
    </row>
    <row r="754" spans="1:4" x14ac:dyDescent="0.2">
      <c r="A754" s="4">
        <v>39430</v>
      </c>
      <c r="B754" s="5">
        <v>190.39</v>
      </c>
      <c r="C754" s="1">
        <f t="shared" si="22"/>
        <v>-7.5349631786614819E-3</v>
      </c>
      <c r="D754" s="1">
        <f t="shared" si="21"/>
        <v>0.55933803069321764</v>
      </c>
    </row>
    <row r="755" spans="1:4" x14ac:dyDescent="0.2">
      <c r="A755" s="4">
        <v>39433</v>
      </c>
      <c r="B755" s="5">
        <v>184.4</v>
      </c>
      <c r="C755" s="1">
        <f t="shared" si="22"/>
        <v>-3.1967288847091511E-2</v>
      </c>
      <c r="D755" s="1">
        <f t="shared" si="21"/>
        <v>0.56182400625696238</v>
      </c>
    </row>
    <row r="756" spans="1:4" x14ac:dyDescent="0.2">
      <c r="A756" s="4">
        <v>39434</v>
      </c>
      <c r="B756" s="5">
        <v>182.98</v>
      </c>
      <c r="C756" s="1">
        <f t="shared" si="22"/>
        <v>-7.73045387110439E-3</v>
      </c>
      <c r="D756" s="1">
        <f t="shared" si="21"/>
        <v>0.55331471197673932</v>
      </c>
    </row>
    <row r="757" spans="1:4" x14ac:dyDescent="0.2">
      <c r="A757" s="4">
        <v>39435</v>
      </c>
      <c r="B757" s="5">
        <v>183.12</v>
      </c>
      <c r="C757" s="1">
        <f t="shared" si="22"/>
        <v>7.6481839292204972E-4</v>
      </c>
      <c r="D757" s="1">
        <f t="shared" si="21"/>
        <v>0.55329330865066406</v>
      </c>
    </row>
    <row r="758" spans="1:4" x14ac:dyDescent="0.2">
      <c r="A758" s="4">
        <v>39436</v>
      </c>
      <c r="B758" s="5">
        <v>187.21</v>
      </c>
      <c r="C758" s="1">
        <f t="shared" si="22"/>
        <v>2.2089305775865802E-2</v>
      </c>
      <c r="D758" s="1">
        <f t="shared" si="21"/>
        <v>0.55552152391250076</v>
      </c>
    </row>
    <row r="759" spans="1:4" x14ac:dyDescent="0.2">
      <c r="A759" s="4">
        <v>39437</v>
      </c>
      <c r="B759" s="5">
        <v>193.91</v>
      </c>
      <c r="C759" s="1">
        <f t="shared" si="22"/>
        <v>3.5163152474349542E-2</v>
      </c>
      <c r="D759" s="1">
        <f t="shared" si="21"/>
        <v>0.55618102823351645</v>
      </c>
    </row>
    <row r="760" spans="1:4" x14ac:dyDescent="0.2">
      <c r="A760" s="4">
        <v>39440</v>
      </c>
      <c r="B760" s="5">
        <v>198.8</v>
      </c>
      <c r="C760" s="1">
        <f t="shared" si="22"/>
        <v>2.4905160327947085E-2</v>
      </c>
      <c r="D760" s="1">
        <f t="shared" si="21"/>
        <v>0.55437460398543703</v>
      </c>
    </row>
    <row r="761" spans="1:4" x14ac:dyDescent="0.2">
      <c r="A761" s="4">
        <v>39442</v>
      </c>
      <c r="B761" s="5">
        <v>198.95</v>
      </c>
      <c r="C761" s="1">
        <f t="shared" si="22"/>
        <v>7.5424265046397415E-4</v>
      </c>
      <c r="D761" s="1">
        <f t="shared" si="21"/>
        <v>0.55425006230523421</v>
      </c>
    </row>
    <row r="762" spans="1:4" x14ac:dyDescent="0.2">
      <c r="A762" s="4">
        <v>39443</v>
      </c>
      <c r="B762" s="5">
        <v>198.57</v>
      </c>
      <c r="C762" s="1">
        <f t="shared" si="22"/>
        <v>-1.9118540739964821E-3</v>
      </c>
      <c r="D762" s="1">
        <f t="shared" si="21"/>
        <v>0.55344688072425163</v>
      </c>
    </row>
    <row r="763" spans="1:4" x14ac:dyDescent="0.2">
      <c r="A763" s="4">
        <v>39444</v>
      </c>
      <c r="B763" s="5">
        <v>199.83</v>
      </c>
      <c r="C763" s="1">
        <f t="shared" si="22"/>
        <v>6.3253222942567635E-3</v>
      </c>
      <c r="D763" s="1">
        <f t="shared" si="21"/>
        <v>0.551903680209609</v>
      </c>
    </row>
    <row r="764" spans="1:4" x14ac:dyDescent="0.2">
      <c r="A764" s="4">
        <v>39447</v>
      </c>
      <c r="B764" s="5">
        <v>198.08</v>
      </c>
      <c r="C764" s="1">
        <f t="shared" si="22"/>
        <v>-8.7960155969664944E-3</v>
      </c>
      <c r="D764" s="1">
        <f t="shared" si="21"/>
        <v>0.55279123143448738</v>
      </c>
    </row>
    <row r="765" spans="1:4" x14ac:dyDescent="0.2">
      <c r="A765" s="4">
        <v>39449</v>
      </c>
      <c r="B765" s="5">
        <v>194.84</v>
      </c>
      <c r="C765" s="1">
        <f t="shared" si="22"/>
        <v>-1.6492280557889406E-2</v>
      </c>
      <c r="D765" s="1">
        <f t="shared" ref="D765:D828" si="23">STDEV(C716:C765)*SQRT($B$2)</f>
        <v>0.55241114511645173</v>
      </c>
    </row>
    <row r="766" spans="1:4" x14ac:dyDescent="0.2">
      <c r="A766" s="4">
        <v>39450</v>
      </c>
      <c r="B766" s="5">
        <v>194.93</v>
      </c>
      <c r="C766" s="1">
        <f t="shared" si="22"/>
        <v>4.6181081971169565E-4</v>
      </c>
      <c r="D766" s="1">
        <f t="shared" si="23"/>
        <v>0.54962452659396044</v>
      </c>
    </row>
    <row r="767" spans="1:4" x14ac:dyDescent="0.2">
      <c r="A767" s="4">
        <v>39451</v>
      </c>
      <c r="B767" s="5">
        <v>180.05</v>
      </c>
      <c r="C767" s="1">
        <f t="shared" si="22"/>
        <v>-7.9405929663169353E-2</v>
      </c>
      <c r="D767" s="1">
        <f t="shared" si="23"/>
        <v>0.56462312585529306</v>
      </c>
    </row>
    <row r="768" spans="1:4" x14ac:dyDescent="0.2">
      <c r="A768" s="4">
        <v>39454</v>
      </c>
      <c r="B768" s="5">
        <v>177.64</v>
      </c>
      <c r="C768" s="1">
        <f t="shared" si="22"/>
        <v>-1.347555967098288E-2</v>
      </c>
      <c r="D768" s="1">
        <f t="shared" si="23"/>
        <v>0.56568236388768756</v>
      </c>
    </row>
    <row r="769" spans="1:4" x14ac:dyDescent="0.2">
      <c r="A769" s="4">
        <v>39455</v>
      </c>
      <c r="B769" s="5">
        <v>171.25</v>
      </c>
      <c r="C769" s="1">
        <f t="shared" si="22"/>
        <v>-3.6634553281566833E-2</v>
      </c>
      <c r="D769" s="1">
        <f t="shared" si="23"/>
        <v>0.57227293270435642</v>
      </c>
    </row>
    <row r="770" spans="1:4" x14ac:dyDescent="0.2">
      <c r="A770" s="4">
        <v>39456</v>
      </c>
      <c r="B770" s="5">
        <v>179.4</v>
      </c>
      <c r="C770" s="1">
        <f t="shared" si="22"/>
        <v>4.6493472482361145E-2</v>
      </c>
      <c r="D770" s="1">
        <f t="shared" si="23"/>
        <v>0.58591055867256603</v>
      </c>
    </row>
    <row r="771" spans="1:4" x14ac:dyDescent="0.2">
      <c r="A771" s="4">
        <v>39457</v>
      </c>
      <c r="B771" s="5">
        <v>178.02</v>
      </c>
      <c r="C771" s="1">
        <f t="shared" si="22"/>
        <v>-7.7220460939102778E-3</v>
      </c>
      <c r="D771" s="1">
        <f t="shared" si="23"/>
        <v>0.5861761990220884</v>
      </c>
    </row>
    <row r="772" spans="1:4" x14ac:dyDescent="0.2">
      <c r="A772" s="4">
        <v>39458</v>
      </c>
      <c r="B772" s="5">
        <v>172.69</v>
      </c>
      <c r="C772" s="1">
        <f t="shared" si="22"/>
        <v>-3.0397823934206838E-2</v>
      </c>
      <c r="D772" s="1">
        <f t="shared" si="23"/>
        <v>0.59074719397687325</v>
      </c>
    </row>
    <row r="773" spans="1:4" x14ac:dyDescent="0.2">
      <c r="A773" s="4">
        <v>39461</v>
      </c>
      <c r="B773" s="5">
        <v>178.78</v>
      </c>
      <c r="C773" s="1">
        <f t="shared" si="22"/>
        <v>3.4657920063127901E-2</v>
      </c>
      <c r="D773" s="1">
        <f t="shared" si="23"/>
        <v>0.59707772688799232</v>
      </c>
    </row>
    <row r="774" spans="1:4" x14ac:dyDescent="0.2">
      <c r="A774" s="4">
        <v>39462</v>
      </c>
      <c r="B774" s="5">
        <v>169.04</v>
      </c>
      <c r="C774" s="1">
        <f t="shared" si="22"/>
        <v>-5.6020626351905287E-2</v>
      </c>
      <c r="D774" s="1">
        <f t="shared" si="23"/>
        <v>0.61442468143522988</v>
      </c>
    </row>
    <row r="775" spans="1:4" x14ac:dyDescent="0.2">
      <c r="A775" s="4">
        <v>39463</v>
      </c>
      <c r="B775" s="5">
        <v>159.63999999999999</v>
      </c>
      <c r="C775" s="1">
        <f t="shared" si="22"/>
        <v>-5.7214093127268183E-2</v>
      </c>
      <c r="D775" s="1">
        <f t="shared" si="23"/>
        <v>0.63206248681256161</v>
      </c>
    </row>
    <row r="776" spans="1:4" x14ac:dyDescent="0.2">
      <c r="A776" s="4">
        <v>39464</v>
      </c>
      <c r="B776" s="5">
        <v>160.88999999999999</v>
      </c>
      <c r="C776" s="1">
        <f t="shared" si="22"/>
        <v>7.7996214824103032E-3</v>
      </c>
      <c r="D776" s="1">
        <f t="shared" si="23"/>
        <v>0.6325523583571282</v>
      </c>
    </row>
    <row r="777" spans="1:4" x14ac:dyDescent="0.2">
      <c r="A777" s="4">
        <v>39465</v>
      </c>
      <c r="B777" s="5">
        <v>161.36000000000001</v>
      </c>
      <c r="C777" s="1">
        <f t="shared" si="22"/>
        <v>2.9169919830130428E-3</v>
      </c>
      <c r="D777" s="1">
        <f t="shared" si="23"/>
        <v>0.62637820286911938</v>
      </c>
    </row>
    <row r="778" spans="1:4" x14ac:dyDescent="0.2">
      <c r="A778" s="4">
        <v>39469</v>
      </c>
      <c r="B778" s="5">
        <v>155.63999999999999</v>
      </c>
      <c r="C778" s="1">
        <f t="shared" si="22"/>
        <v>-3.6092245529603703E-2</v>
      </c>
      <c r="D778" s="1">
        <f t="shared" si="23"/>
        <v>0.62880816478214252</v>
      </c>
    </row>
    <row r="779" spans="1:4" x14ac:dyDescent="0.2">
      <c r="A779" s="4">
        <v>39470</v>
      </c>
      <c r="B779" s="5">
        <v>139.07</v>
      </c>
      <c r="C779" s="1">
        <f t="shared" si="22"/>
        <v>-0.11256824462583334</v>
      </c>
      <c r="D779" s="1">
        <f t="shared" si="23"/>
        <v>0.67811228643680843</v>
      </c>
    </row>
    <row r="780" spans="1:4" x14ac:dyDescent="0.2">
      <c r="A780" s="4">
        <v>39471</v>
      </c>
      <c r="B780" s="5">
        <v>135.6</v>
      </c>
      <c r="C780" s="1">
        <f t="shared" ref="C780:C843" si="24">LN(B780/B779)</f>
        <v>-2.5268027984224249E-2</v>
      </c>
      <c r="D780" s="1">
        <f t="shared" si="23"/>
        <v>0.66377495148703436</v>
      </c>
    </row>
    <row r="781" spans="1:4" x14ac:dyDescent="0.2">
      <c r="A781" s="4">
        <v>39472</v>
      </c>
      <c r="B781" s="5">
        <v>130.01</v>
      </c>
      <c r="C781" s="1">
        <f t="shared" si="24"/>
        <v>-4.2098004932217839E-2</v>
      </c>
      <c r="D781" s="1">
        <f t="shared" si="23"/>
        <v>0.64498311313854995</v>
      </c>
    </row>
    <row r="782" spans="1:4" x14ac:dyDescent="0.2">
      <c r="A782" s="4">
        <v>39475</v>
      </c>
      <c r="B782" s="5">
        <v>130.01</v>
      </c>
      <c r="C782" s="1">
        <f t="shared" si="24"/>
        <v>0</v>
      </c>
      <c r="D782" s="1">
        <f t="shared" si="23"/>
        <v>0.57858197530203426</v>
      </c>
    </row>
    <row r="783" spans="1:4" x14ac:dyDescent="0.2">
      <c r="A783" s="4">
        <v>39476</v>
      </c>
      <c r="B783" s="5">
        <v>131.54</v>
      </c>
      <c r="C783" s="1">
        <f t="shared" si="24"/>
        <v>1.1699617299127583E-2</v>
      </c>
      <c r="D783" s="1">
        <f t="shared" si="23"/>
        <v>0.57831733684996089</v>
      </c>
    </row>
    <row r="784" spans="1:4" x14ac:dyDescent="0.2">
      <c r="A784" s="4">
        <v>39477</v>
      </c>
      <c r="B784" s="5">
        <v>132.18</v>
      </c>
      <c r="C784" s="1">
        <f t="shared" si="24"/>
        <v>4.8536421691019486E-3</v>
      </c>
      <c r="D784" s="1">
        <f t="shared" si="23"/>
        <v>0.57861404422555307</v>
      </c>
    </row>
    <row r="785" spans="1:4" x14ac:dyDescent="0.2">
      <c r="A785" s="4">
        <v>39478</v>
      </c>
      <c r="B785" s="5">
        <v>135.36000000000001</v>
      </c>
      <c r="C785" s="1">
        <f t="shared" si="24"/>
        <v>2.3773265815606494E-2</v>
      </c>
      <c r="D785" s="1">
        <f t="shared" si="23"/>
        <v>0.5818221823705082</v>
      </c>
    </row>
    <row r="786" spans="1:4" x14ac:dyDescent="0.2">
      <c r="A786" s="4">
        <v>39479</v>
      </c>
      <c r="B786" s="5">
        <v>133.75</v>
      </c>
      <c r="C786" s="1">
        <f t="shared" si="24"/>
        <v>-1.1965510081797311E-2</v>
      </c>
      <c r="D786" s="1">
        <f t="shared" si="23"/>
        <v>0.58148891891828813</v>
      </c>
    </row>
    <row r="787" spans="1:4" x14ac:dyDescent="0.2">
      <c r="A787" s="4">
        <v>39482</v>
      </c>
      <c r="B787" s="5">
        <v>131.65</v>
      </c>
      <c r="C787" s="1">
        <f t="shared" si="24"/>
        <v>-1.5825499833797486E-2</v>
      </c>
      <c r="D787" s="1">
        <f t="shared" si="23"/>
        <v>0.5748764610093775</v>
      </c>
    </row>
    <row r="788" spans="1:4" x14ac:dyDescent="0.2">
      <c r="A788" s="4">
        <v>39483</v>
      </c>
      <c r="B788" s="5">
        <v>129.36000000000001</v>
      </c>
      <c r="C788" s="1">
        <f t="shared" si="24"/>
        <v>-1.7547670673466978E-2</v>
      </c>
      <c r="D788" s="1">
        <f t="shared" si="23"/>
        <v>0.57582333694709031</v>
      </c>
    </row>
    <row r="789" spans="1:4" x14ac:dyDescent="0.2">
      <c r="A789" s="4">
        <v>39484</v>
      </c>
      <c r="B789" s="5">
        <v>122</v>
      </c>
      <c r="C789" s="1">
        <f t="shared" si="24"/>
        <v>-5.8578170535594956E-2</v>
      </c>
      <c r="D789" s="1">
        <f t="shared" si="23"/>
        <v>0.58972541674006473</v>
      </c>
    </row>
    <row r="790" spans="1:4" x14ac:dyDescent="0.2">
      <c r="A790" s="4">
        <v>39485</v>
      </c>
      <c r="B790" s="5">
        <v>121.24</v>
      </c>
      <c r="C790" s="1">
        <f t="shared" si="24"/>
        <v>-6.2489925436541444E-3</v>
      </c>
      <c r="D790" s="1">
        <f t="shared" si="23"/>
        <v>0.58870096514085946</v>
      </c>
    </row>
    <row r="791" spans="1:4" x14ac:dyDescent="0.2">
      <c r="A791" s="4">
        <v>39486</v>
      </c>
      <c r="B791" s="5">
        <v>125.48</v>
      </c>
      <c r="C791" s="1">
        <f t="shared" si="24"/>
        <v>3.4374331132875101E-2</v>
      </c>
      <c r="D791" s="1">
        <f t="shared" si="23"/>
        <v>0.59688367020091482</v>
      </c>
    </row>
    <row r="792" spans="1:4" x14ac:dyDescent="0.2">
      <c r="A792" s="4">
        <v>39489</v>
      </c>
      <c r="B792" s="5">
        <v>129.44999999999999</v>
      </c>
      <c r="C792" s="1">
        <f t="shared" si="24"/>
        <v>3.114832287506911E-2</v>
      </c>
      <c r="D792" s="1">
        <f t="shared" si="23"/>
        <v>0.59719646713623564</v>
      </c>
    </row>
    <row r="793" spans="1:4" x14ac:dyDescent="0.2">
      <c r="A793" s="4">
        <v>39490</v>
      </c>
      <c r="B793" s="5">
        <v>124.86</v>
      </c>
      <c r="C793" s="1">
        <f t="shared" si="24"/>
        <v>-3.6101596563948443E-2</v>
      </c>
      <c r="D793" s="1">
        <f t="shared" si="23"/>
        <v>0.59696511753331105</v>
      </c>
    </row>
    <row r="794" spans="1:4" x14ac:dyDescent="0.2">
      <c r="A794" s="4">
        <v>39491</v>
      </c>
      <c r="B794" s="5">
        <v>129.4</v>
      </c>
      <c r="C794" s="1">
        <f t="shared" si="24"/>
        <v>3.571527243320223E-2</v>
      </c>
      <c r="D794" s="1">
        <f t="shared" si="23"/>
        <v>0.60831138117302397</v>
      </c>
    </row>
    <row r="795" spans="1:4" x14ac:dyDescent="0.2">
      <c r="A795" s="4">
        <v>39492</v>
      </c>
      <c r="B795" s="5">
        <v>127.46</v>
      </c>
      <c r="C795" s="1">
        <f t="shared" si="24"/>
        <v>-1.5105792180652243E-2</v>
      </c>
      <c r="D795" s="1">
        <f t="shared" si="23"/>
        <v>0.60787991860191759</v>
      </c>
    </row>
    <row r="796" spans="1:4" x14ac:dyDescent="0.2">
      <c r="A796" s="4">
        <v>39493</v>
      </c>
      <c r="B796" s="5">
        <v>124.63</v>
      </c>
      <c r="C796" s="1">
        <f t="shared" si="24"/>
        <v>-2.2453242047862591E-2</v>
      </c>
      <c r="D796" s="1">
        <f t="shared" si="23"/>
        <v>0.60839808666783801</v>
      </c>
    </row>
    <row r="797" spans="1:4" x14ac:dyDescent="0.2">
      <c r="A797" s="4">
        <v>39497</v>
      </c>
      <c r="B797" s="5">
        <v>122.18</v>
      </c>
      <c r="C797" s="1">
        <f t="shared" si="24"/>
        <v>-1.9853980616664563E-2</v>
      </c>
      <c r="D797" s="1">
        <f t="shared" si="23"/>
        <v>0.59991336633544656</v>
      </c>
    </row>
    <row r="798" spans="1:4" x14ac:dyDescent="0.2">
      <c r="A798" s="4">
        <v>39498</v>
      </c>
      <c r="B798" s="5">
        <v>123.82</v>
      </c>
      <c r="C798" s="1">
        <f t="shared" si="24"/>
        <v>1.3333530869465168E-2</v>
      </c>
      <c r="D798" s="1">
        <f t="shared" si="23"/>
        <v>0.59642911404509935</v>
      </c>
    </row>
    <row r="799" spans="1:4" x14ac:dyDescent="0.2">
      <c r="A799" s="4">
        <v>39499</v>
      </c>
      <c r="B799" s="5">
        <v>121.54</v>
      </c>
      <c r="C799" s="1">
        <f t="shared" si="24"/>
        <v>-1.8585471383876839E-2</v>
      </c>
      <c r="D799" s="1">
        <f t="shared" si="23"/>
        <v>0.59073827372824117</v>
      </c>
    </row>
    <row r="800" spans="1:4" x14ac:dyDescent="0.2">
      <c r="A800" s="4">
        <v>39500</v>
      </c>
      <c r="B800" s="5">
        <v>119.46</v>
      </c>
      <c r="C800" s="1">
        <f t="shared" si="24"/>
        <v>-1.7261839403049345E-2</v>
      </c>
      <c r="D800" s="1">
        <f t="shared" si="23"/>
        <v>0.59059239234145766</v>
      </c>
    </row>
    <row r="801" spans="1:4" x14ac:dyDescent="0.2">
      <c r="A801" s="4">
        <v>39503</v>
      </c>
      <c r="B801" s="5">
        <v>119.74</v>
      </c>
      <c r="C801" s="1">
        <f t="shared" si="24"/>
        <v>2.3411381930459772E-3</v>
      </c>
      <c r="D801" s="1">
        <f t="shared" si="23"/>
        <v>0.58887818392593061</v>
      </c>
    </row>
    <row r="802" spans="1:4" x14ac:dyDescent="0.2">
      <c r="A802" s="4">
        <v>39504</v>
      </c>
      <c r="B802" s="5">
        <v>119.15</v>
      </c>
      <c r="C802" s="1">
        <f t="shared" si="24"/>
        <v>-4.9395219524547961E-3</v>
      </c>
      <c r="D802" s="1">
        <f t="shared" si="23"/>
        <v>0.58607052953328764</v>
      </c>
    </row>
    <row r="803" spans="1:4" x14ac:dyDescent="0.2">
      <c r="A803" s="4">
        <v>39505</v>
      </c>
      <c r="B803" s="5">
        <v>122.96</v>
      </c>
      <c r="C803" s="1">
        <f t="shared" si="24"/>
        <v>3.1475895685589089E-2</v>
      </c>
      <c r="D803" s="1">
        <f t="shared" si="23"/>
        <v>0.59520617186129066</v>
      </c>
    </row>
    <row r="804" spans="1:4" x14ac:dyDescent="0.2">
      <c r="A804" s="4">
        <v>39506</v>
      </c>
      <c r="B804" s="5">
        <v>129.91</v>
      </c>
      <c r="C804" s="1">
        <f t="shared" si="24"/>
        <v>5.4982803777301179E-2</v>
      </c>
      <c r="D804" s="1">
        <f t="shared" si="23"/>
        <v>0.61973297162649077</v>
      </c>
    </row>
    <row r="805" spans="1:4" x14ac:dyDescent="0.2">
      <c r="A805" s="4">
        <v>39507</v>
      </c>
      <c r="B805" s="5">
        <v>125.02</v>
      </c>
      <c r="C805" s="1">
        <f t="shared" si="24"/>
        <v>-3.8368178503975198E-2</v>
      </c>
      <c r="D805" s="1">
        <f t="shared" si="23"/>
        <v>0.62184198829902826</v>
      </c>
    </row>
    <row r="806" spans="1:4" x14ac:dyDescent="0.2">
      <c r="A806" s="4">
        <v>39510</v>
      </c>
      <c r="B806" s="5">
        <v>121.73</v>
      </c>
      <c r="C806" s="1">
        <f t="shared" si="24"/>
        <v>-2.6668247082161294E-2</v>
      </c>
      <c r="D806" s="1">
        <f t="shared" si="23"/>
        <v>0.62393398639856668</v>
      </c>
    </row>
    <row r="807" spans="1:4" x14ac:dyDescent="0.2">
      <c r="A807" s="4">
        <v>39511</v>
      </c>
      <c r="B807" s="5">
        <v>124.62</v>
      </c>
      <c r="C807" s="1">
        <f t="shared" si="24"/>
        <v>2.3463629694571057E-2</v>
      </c>
      <c r="D807" s="1">
        <f t="shared" si="23"/>
        <v>0.62934093570814698</v>
      </c>
    </row>
    <row r="808" spans="1:4" x14ac:dyDescent="0.2">
      <c r="A808" s="4">
        <v>39512</v>
      </c>
      <c r="B808" s="5">
        <v>124.49</v>
      </c>
      <c r="C808" s="1">
        <f t="shared" si="24"/>
        <v>-1.0437157223814287E-3</v>
      </c>
      <c r="D808" s="1">
        <f t="shared" si="23"/>
        <v>0.62426833794180869</v>
      </c>
    </row>
    <row r="809" spans="1:4" x14ac:dyDescent="0.2">
      <c r="A809" s="4">
        <v>39513</v>
      </c>
      <c r="B809" s="5">
        <v>120.93</v>
      </c>
      <c r="C809" s="1">
        <f t="shared" si="24"/>
        <v>-2.9013525596510333E-2</v>
      </c>
      <c r="D809" s="1">
        <f t="shared" si="23"/>
        <v>0.61510619761107121</v>
      </c>
    </row>
    <row r="810" spans="1:4" x14ac:dyDescent="0.2">
      <c r="A810" s="4">
        <v>39514</v>
      </c>
      <c r="B810" s="5">
        <v>122.25</v>
      </c>
      <c r="C810" s="1">
        <f t="shared" si="24"/>
        <v>1.08562625577973E-2</v>
      </c>
      <c r="D810" s="1">
        <f t="shared" si="23"/>
        <v>0.61041563275458288</v>
      </c>
    </row>
    <row r="811" spans="1:4" x14ac:dyDescent="0.2">
      <c r="A811" s="4">
        <v>39517</v>
      </c>
      <c r="B811" s="5">
        <v>119.69</v>
      </c>
      <c r="C811" s="1">
        <f t="shared" si="24"/>
        <v>-2.1163061469702333E-2</v>
      </c>
      <c r="D811" s="1">
        <f t="shared" si="23"/>
        <v>0.61048533225056745</v>
      </c>
    </row>
    <row r="812" spans="1:4" x14ac:dyDescent="0.2">
      <c r="A812" s="4">
        <v>39518</v>
      </c>
      <c r="B812" s="5">
        <v>127.35</v>
      </c>
      <c r="C812" s="1">
        <f t="shared" si="24"/>
        <v>6.2034134540186837E-2</v>
      </c>
      <c r="D812" s="1">
        <f t="shared" si="23"/>
        <v>0.64062722428118735</v>
      </c>
    </row>
    <row r="813" spans="1:4" x14ac:dyDescent="0.2">
      <c r="A813" s="4">
        <v>39519</v>
      </c>
      <c r="B813" s="5">
        <v>126.03</v>
      </c>
      <c r="C813" s="1">
        <f t="shared" si="24"/>
        <v>-1.041922757606557E-2</v>
      </c>
      <c r="D813" s="1">
        <f t="shared" si="23"/>
        <v>0.63926198853048366</v>
      </c>
    </row>
    <row r="814" spans="1:4" x14ac:dyDescent="0.2">
      <c r="A814" s="4">
        <v>39520</v>
      </c>
      <c r="B814" s="5">
        <v>127.94</v>
      </c>
      <c r="C814" s="1">
        <f t="shared" si="24"/>
        <v>1.5041430172591162E-2</v>
      </c>
      <c r="D814" s="1">
        <f t="shared" si="23"/>
        <v>0.6426150612447048</v>
      </c>
    </row>
    <row r="815" spans="1:4" x14ac:dyDescent="0.2">
      <c r="A815" s="4">
        <v>39521</v>
      </c>
      <c r="B815" s="5">
        <v>126.61</v>
      </c>
      <c r="C815" s="1">
        <f t="shared" si="24"/>
        <v>-1.0449908489829764E-2</v>
      </c>
      <c r="D815" s="1">
        <f t="shared" si="23"/>
        <v>0.64227952364495111</v>
      </c>
    </row>
    <row r="816" spans="1:4" x14ac:dyDescent="0.2">
      <c r="A816" s="4">
        <v>39524</v>
      </c>
      <c r="B816" s="5">
        <v>126.73</v>
      </c>
      <c r="C816" s="1">
        <f t="shared" si="24"/>
        <v>9.473435618110235E-4</v>
      </c>
      <c r="D816" s="1">
        <f t="shared" si="23"/>
        <v>0.64233200911303601</v>
      </c>
    </row>
    <row r="817" spans="1:4" x14ac:dyDescent="0.2">
      <c r="A817" s="4">
        <v>39525</v>
      </c>
      <c r="B817" s="5">
        <v>132.82</v>
      </c>
      <c r="C817" s="1">
        <f t="shared" si="24"/>
        <v>4.6935989018594762E-2</v>
      </c>
      <c r="D817" s="1">
        <f t="shared" si="23"/>
        <v>0.62917678868197358</v>
      </c>
    </row>
    <row r="818" spans="1:4" x14ac:dyDescent="0.2">
      <c r="A818" s="4">
        <v>39526</v>
      </c>
      <c r="B818" s="5">
        <v>129.66999999999999</v>
      </c>
      <c r="C818" s="1">
        <f t="shared" si="24"/>
        <v>-2.4002066551774712E-2</v>
      </c>
      <c r="D818" s="1">
        <f t="shared" si="23"/>
        <v>0.63073874969997645</v>
      </c>
    </row>
    <row r="819" spans="1:4" x14ac:dyDescent="0.2">
      <c r="A819" s="4">
        <v>39527</v>
      </c>
      <c r="B819" s="5">
        <v>133.27000000000001</v>
      </c>
      <c r="C819" s="1">
        <f t="shared" si="24"/>
        <v>2.7384384030842927E-2</v>
      </c>
      <c r="D819" s="1">
        <f t="shared" si="23"/>
        <v>0.63151704920468243</v>
      </c>
    </row>
    <row r="820" spans="1:4" x14ac:dyDescent="0.2">
      <c r="A820" s="4">
        <v>39531</v>
      </c>
      <c r="B820" s="5">
        <v>139.53</v>
      </c>
      <c r="C820" s="1">
        <f t="shared" si="24"/>
        <v>4.5902486312479653E-2</v>
      </c>
      <c r="D820" s="1">
        <f t="shared" si="23"/>
        <v>0.63115990669446731</v>
      </c>
    </row>
    <row r="821" spans="1:4" x14ac:dyDescent="0.2">
      <c r="A821" s="4">
        <v>39532</v>
      </c>
      <c r="B821" s="5">
        <v>140.97999999999999</v>
      </c>
      <c r="C821" s="1">
        <f t="shared" si="24"/>
        <v>1.0338404441614034E-2</v>
      </c>
      <c r="D821" s="1">
        <f t="shared" si="23"/>
        <v>0.63247034597573526</v>
      </c>
    </row>
    <row r="822" spans="1:4" x14ac:dyDescent="0.2">
      <c r="A822" s="4">
        <v>39533</v>
      </c>
      <c r="B822" s="5">
        <v>145.06</v>
      </c>
      <c r="C822" s="1">
        <f t="shared" si="24"/>
        <v>2.8529413589536833E-2</v>
      </c>
      <c r="D822" s="1">
        <f t="shared" si="23"/>
        <v>0.63464726935670412</v>
      </c>
    </row>
    <row r="823" spans="1:4" x14ac:dyDescent="0.2">
      <c r="A823" s="4">
        <v>39534</v>
      </c>
      <c r="B823" s="5">
        <v>140.25</v>
      </c>
      <c r="C823" s="1">
        <f t="shared" si="24"/>
        <v>-3.3720905532460634E-2</v>
      </c>
      <c r="D823" s="1">
        <f t="shared" si="23"/>
        <v>0.63091288649727817</v>
      </c>
    </row>
    <row r="824" spans="1:4" x14ac:dyDescent="0.2">
      <c r="A824" s="4">
        <v>39535</v>
      </c>
      <c r="B824" s="5">
        <v>143.01</v>
      </c>
      <c r="C824" s="1">
        <f t="shared" si="24"/>
        <v>1.9488013482038165E-2</v>
      </c>
      <c r="D824" s="1">
        <f t="shared" si="23"/>
        <v>0.61815409393274334</v>
      </c>
    </row>
    <row r="825" spans="1:4" x14ac:dyDescent="0.2">
      <c r="A825" s="4">
        <v>39538</v>
      </c>
      <c r="B825" s="5">
        <v>143.5</v>
      </c>
      <c r="C825" s="1">
        <f t="shared" si="24"/>
        <v>3.420477314831979E-3</v>
      </c>
      <c r="D825" s="1">
        <f t="shared" si="23"/>
        <v>0.60024256674270449</v>
      </c>
    </row>
    <row r="826" spans="1:4" x14ac:dyDescent="0.2">
      <c r="A826" s="4">
        <v>39539</v>
      </c>
      <c r="B826" s="5">
        <v>149.53</v>
      </c>
      <c r="C826" s="1">
        <f t="shared" si="24"/>
        <v>4.1162006396076527E-2</v>
      </c>
      <c r="D826" s="1">
        <f t="shared" si="23"/>
        <v>0.61102584734022458</v>
      </c>
    </row>
    <row r="827" spans="1:4" x14ac:dyDescent="0.2">
      <c r="A827" s="4">
        <v>39540</v>
      </c>
      <c r="B827" s="5">
        <v>147.49</v>
      </c>
      <c r="C827" s="1">
        <f t="shared" si="24"/>
        <v>-1.3736664724341301E-2</v>
      </c>
      <c r="D827" s="1">
        <f t="shared" si="23"/>
        <v>0.61179255698397417</v>
      </c>
    </row>
    <row r="828" spans="1:4" x14ac:dyDescent="0.2">
      <c r="A828" s="4">
        <v>39541</v>
      </c>
      <c r="B828" s="5">
        <v>151.61000000000001</v>
      </c>
      <c r="C828" s="1">
        <f t="shared" si="24"/>
        <v>2.75510572220793E-2</v>
      </c>
      <c r="D828" s="1">
        <f t="shared" si="23"/>
        <v>0.60937826162932474</v>
      </c>
    </row>
    <row r="829" spans="1:4" x14ac:dyDescent="0.2">
      <c r="A829" s="4">
        <v>39542</v>
      </c>
      <c r="B829" s="5">
        <v>153.08000000000001</v>
      </c>
      <c r="C829" s="1">
        <f t="shared" si="24"/>
        <v>9.6492264640111354E-3</v>
      </c>
      <c r="D829" s="1">
        <f t="shared" ref="D829:D892" si="25">STDEV(C780:C829)*SQRT($B$2)</f>
        <v>0.5257136824188493</v>
      </c>
    </row>
    <row r="830" spans="1:4" x14ac:dyDescent="0.2">
      <c r="A830" s="4">
        <v>39545</v>
      </c>
      <c r="B830" s="5">
        <v>155.88999999999999</v>
      </c>
      <c r="C830" s="1">
        <f t="shared" si="24"/>
        <v>1.8189969767087845E-2</v>
      </c>
      <c r="D830" s="1">
        <f t="shared" si="25"/>
        <v>0.52207217994604305</v>
      </c>
    </row>
    <row r="831" spans="1:4" x14ac:dyDescent="0.2">
      <c r="A831" s="4">
        <v>39546</v>
      </c>
      <c r="B831" s="5">
        <v>152.84</v>
      </c>
      <c r="C831" s="1">
        <f t="shared" si="24"/>
        <v>-1.9759007745890209E-2</v>
      </c>
      <c r="D831" s="1">
        <f t="shared" si="25"/>
        <v>0.51113961242667794</v>
      </c>
    </row>
    <row r="832" spans="1:4" x14ac:dyDescent="0.2">
      <c r="A832" s="4">
        <v>39547</v>
      </c>
      <c r="B832" s="5">
        <v>151.44</v>
      </c>
      <c r="C832" s="1">
        <f t="shared" si="24"/>
        <v>-9.2021156776318745E-3</v>
      </c>
      <c r="D832" s="1">
        <f t="shared" si="25"/>
        <v>0.51217715448357115</v>
      </c>
    </row>
    <row r="833" spans="1:4" x14ac:dyDescent="0.2">
      <c r="A833" s="4">
        <v>39548</v>
      </c>
      <c r="B833" s="5">
        <v>154.55000000000001</v>
      </c>
      <c r="C833" s="1">
        <f t="shared" si="24"/>
        <v>2.032816167705806E-2</v>
      </c>
      <c r="D833" s="1">
        <f t="shared" si="25"/>
        <v>0.51379044667703788</v>
      </c>
    </row>
    <row r="834" spans="1:4" x14ac:dyDescent="0.2">
      <c r="A834" s="4">
        <v>39549</v>
      </c>
      <c r="B834" s="5">
        <v>147.13999999999999</v>
      </c>
      <c r="C834" s="1">
        <f t="shared" si="24"/>
        <v>-4.9133154074007111E-2</v>
      </c>
      <c r="D834" s="1">
        <f t="shared" si="25"/>
        <v>0.53286622341965029</v>
      </c>
    </row>
    <row r="835" spans="1:4" x14ac:dyDescent="0.2">
      <c r="A835" s="4">
        <v>39552</v>
      </c>
      <c r="B835" s="5">
        <v>147.78</v>
      </c>
      <c r="C835" s="1">
        <f t="shared" si="24"/>
        <v>4.3401668563831982E-3</v>
      </c>
      <c r="D835" s="1">
        <f t="shared" si="25"/>
        <v>0.52956715661862397</v>
      </c>
    </row>
    <row r="836" spans="1:4" x14ac:dyDescent="0.2">
      <c r="A836" s="4">
        <v>39553</v>
      </c>
      <c r="B836" s="5">
        <v>148.38</v>
      </c>
      <c r="C836" s="1">
        <f t="shared" si="24"/>
        <v>4.0518694008783189E-3</v>
      </c>
      <c r="D836" s="1">
        <f t="shared" si="25"/>
        <v>0.52824235515179063</v>
      </c>
    </row>
    <row r="837" spans="1:4" x14ac:dyDescent="0.2">
      <c r="A837" s="4">
        <v>39554</v>
      </c>
      <c r="B837" s="5">
        <v>153.69999999999999</v>
      </c>
      <c r="C837" s="1">
        <f t="shared" si="24"/>
        <v>3.5226099783170213E-2</v>
      </c>
      <c r="D837" s="1">
        <f t="shared" si="25"/>
        <v>0.53333893072274263</v>
      </c>
    </row>
    <row r="838" spans="1:4" x14ac:dyDescent="0.2">
      <c r="A838" s="4">
        <v>39555</v>
      </c>
      <c r="B838" s="5">
        <v>154.49</v>
      </c>
      <c r="C838" s="1">
        <f t="shared" si="24"/>
        <v>5.1267187794081931E-3</v>
      </c>
      <c r="D838" s="1">
        <f t="shared" si="25"/>
        <v>0.53031094305295789</v>
      </c>
    </row>
    <row r="839" spans="1:4" x14ac:dyDescent="0.2">
      <c r="A839" s="4">
        <v>39556</v>
      </c>
      <c r="B839" s="5">
        <v>161.04</v>
      </c>
      <c r="C839" s="1">
        <f t="shared" si="24"/>
        <v>4.1523412007577684E-2</v>
      </c>
      <c r="D839" s="1">
        <f t="shared" si="25"/>
        <v>0.51159052457378296</v>
      </c>
    </row>
    <row r="840" spans="1:4" x14ac:dyDescent="0.2">
      <c r="A840" s="4">
        <v>39559</v>
      </c>
      <c r="B840" s="5">
        <v>168.16</v>
      </c>
      <c r="C840" s="1">
        <f t="shared" si="24"/>
        <v>4.3263125797104882E-2</v>
      </c>
      <c r="D840" s="1">
        <f t="shared" si="25"/>
        <v>0.52049516826770148</v>
      </c>
    </row>
    <row r="841" spans="1:4" x14ac:dyDescent="0.2">
      <c r="A841" s="4">
        <v>39560</v>
      </c>
      <c r="B841" s="5">
        <v>160.19999999999999</v>
      </c>
      <c r="C841" s="1">
        <f t="shared" si="24"/>
        <v>-4.8492872494382153E-2</v>
      </c>
      <c r="D841" s="1">
        <f t="shared" si="25"/>
        <v>0.53542949394999328</v>
      </c>
    </row>
    <row r="842" spans="1:4" x14ac:dyDescent="0.2">
      <c r="A842" s="4">
        <v>39561</v>
      </c>
      <c r="B842" s="5">
        <v>162.88999999999999</v>
      </c>
      <c r="C842" s="1">
        <f t="shared" si="24"/>
        <v>1.665209173525483E-2</v>
      </c>
      <c r="D842" s="1">
        <f t="shared" si="25"/>
        <v>0.53155145212533328</v>
      </c>
    </row>
    <row r="843" spans="1:4" x14ac:dyDescent="0.2">
      <c r="A843" s="4">
        <v>39562</v>
      </c>
      <c r="B843" s="5">
        <v>168.94</v>
      </c>
      <c r="C843" s="1">
        <f t="shared" si="24"/>
        <v>3.6468495929836982E-2</v>
      </c>
      <c r="D843" s="1">
        <f t="shared" si="25"/>
        <v>0.52630045452635776</v>
      </c>
    </row>
    <row r="844" spans="1:4" x14ac:dyDescent="0.2">
      <c r="A844" s="4">
        <v>39563</v>
      </c>
      <c r="B844" s="5">
        <v>169.73</v>
      </c>
      <c r="C844" s="1">
        <f t="shared" ref="C844:C900" si="26">LN(B844/B843)</f>
        <v>4.6653168740893166E-3</v>
      </c>
      <c r="D844" s="1">
        <f t="shared" si="25"/>
        <v>0.51990972584079032</v>
      </c>
    </row>
    <row r="845" spans="1:4" x14ac:dyDescent="0.2">
      <c r="A845" s="4">
        <v>39566</v>
      </c>
      <c r="B845" s="5">
        <v>172.24</v>
      </c>
      <c r="C845" s="1">
        <f t="shared" si="26"/>
        <v>1.4679913882667681E-2</v>
      </c>
      <c r="D845" s="1">
        <f t="shared" si="25"/>
        <v>0.51736997122401562</v>
      </c>
    </row>
    <row r="846" spans="1:4" x14ac:dyDescent="0.2">
      <c r="A846" s="4">
        <v>39567</v>
      </c>
      <c r="B846" s="5">
        <v>175.05</v>
      </c>
      <c r="C846" s="1">
        <f t="shared" si="26"/>
        <v>1.6182794344567035E-2</v>
      </c>
      <c r="D846" s="1">
        <f t="shared" si="25"/>
        <v>0.51203376488810681</v>
      </c>
    </row>
    <row r="847" spans="1:4" x14ac:dyDescent="0.2">
      <c r="A847" s="4">
        <v>39568</v>
      </c>
      <c r="B847" s="5">
        <v>173.95</v>
      </c>
      <c r="C847" s="1">
        <f t="shared" si="26"/>
        <v>-6.3037458027237186E-3</v>
      </c>
      <c r="D847" s="1">
        <f t="shared" si="25"/>
        <v>0.50807418817224215</v>
      </c>
    </row>
    <row r="848" spans="1:4" x14ac:dyDescent="0.2">
      <c r="A848" s="4">
        <v>39569</v>
      </c>
      <c r="B848" s="5">
        <v>180</v>
      </c>
      <c r="C848" s="1">
        <f t="shared" si="26"/>
        <v>3.4188949292259449E-2</v>
      </c>
      <c r="D848" s="1">
        <f t="shared" si="25"/>
        <v>0.51309065180609903</v>
      </c>
    </row>
    <row r="849" spans="1:4" x14ac:dyDescent="0.2">
      <c r="A849" s="4">
        <v>39570</v>
      </c>
      <c r="B849" s="5">
        <v>180.94</v>
      </c>
      <c r="C849" s="1">
        <f t="shared" si="26"/>
        <v>5.2086337073852058E-3</v>
      </c>
      <c r="D849" s="1">
        <f t="shared" si="25"/>
        <v>0.50808886173377221</v>
      </c>
    </row>
    <row r="850" spans="1:4" x14ac:dyDescent="0.2">
      <c r="A850" s="4">
        <v>39573</v>
      </c>
      <c r="B850" s="5">
        <v>184.73</v>
      </c>
      <c r="C850" s="1">
        <f t="shared" si="26"/>
        <v>2.0729814972950424E-2</v>
      </c>
      <c r="D850" s="1">
        <f t="shared" si="25"/>
        <v>0.50439689777628027</v>
      </c>
    </row>
    <row r="851" spans="1:4" x14ac:dyDescent="0.2">
      <c r="A851" s="4">
        <v>39574</v>
      </c>
      <c r="B851" s="5">
        <v>186.66</v>
      </c>
      <c r="C851" s="1">
        <f t="shared" si="26"/>
        <v>1.0393480567054591E-2</v>
      </c>
      <c r="D851" s="1">
        <f t="shared" si="25"/>
        <v>0.50410766778410787</v>
      </c>
    </row>
    <row r="852" spans="1:4" x14ac:dyDescent="0.2">
      <c r="A852" s="4">
        <v>39575</v>
      </c>
      <c r="B852" s="5">
        <v>182.59</v>
      </c>
      <c r="C852" s="1">
        <f t="shared" si="26"/>
        <v>-2.2045577988959016E-2</v>
      </c>
      <c r="D852" s="1">
        <f t="shared" si="25"/>
        <v>0.50968844746409181</v>
      </c>
    </row>
    <row r="853" spans="1:4" x14ac:dyDescent="0.2">
      <c r="A853" s="4">
        <v>39576</v>
      </c>
      <c r="B853" s="5">
        <v>185.06</v>
      </c>
      <c r="C853" s="1">
        <f t="shared" si="26"/>
        <v>1.3436894672242647E-2</v>
      </c>
      <c r="D853" s="1">
        <f t="shared" si="25"/>
        <v>0.50595763687041528</v>
      </c>
    </row>
    <row r="854" spans="1:4" x14ac:dyDescent="0.2">
      <c r="A854" s="4">
        <v>39577</v>
      </c>
      <c r="B854" s="5">
        <v>183.45</v>
      </c>
      <c r="C854" s="1">
        <f t="shared" si="26"/>
        <v>-8.7379460195931968E-3</v>
      </c>
      <c r="D854" s="1">
        <f t="shared" si="25"/>
        <v>0.4911210041184092</v>
      </c>
    </row>
    <row r="855" spans="1:4" x14ac:dyDescent="0.2">
      <c r="A855" s="4">
        <v>39580</v>
      </c>
      <c r="B855" s="5">
        <v>188.16</v>
      </c>
      <c r="C855" s="1">
        <f t="shared" si="26"/>
        <v>2.5350513908971157E-2</v>
      </c>
      <c r="D855" s="1">
        <f t="shared" si="25"/>
        <v>0.4773513943258525</v>
      </c>
    </row>
    <row r="856" spans="1:4" x14ac:dyDescent="0.2">
      <c r="A856" s="4">
        <v>39581</v>
      </c>
      <c r="B856" s="5">
        <v>189.96</v>
      </c>
      <c r="C856" s="1">
        <f t="shared" si="26"/>
        <v>9.5208589706590359E-3</v>
      </c>
      <c r="D856" s="1">
        <f t="shared" si="25"/>
        <v>0.46758800667443601</v>
      </c>
    </row>
    <row r="857" spans="1:4" x14ac:dyDescent="0.2">
      <c r="A857" s="4">
        <v>39582</v>
      </c>
      <c r="B857" s="5">
        <v>186.26</v>
      </c>
      <c r="C857" s="1">
        <f t="shared" si="26"/>
        <v>-1.9669976587409412E-2</v>
      </c>
      <c r="D857" s="1">
        <f t="shared" si="25"/>
        <v>0.47208233167714836</v>
      </c>
    </row>
    <row r="858" spans="1:4" x14ac:dyDescent="0.2">
      <c r="A858" s="4">
        <v>39583</v>
      </c>
      <c r="B858" s="5">
        <v>189.73</v>
      </c>
      <c r="C858" s="1">
        <f t="shared" si="26"/>
        <v>1.8458461782530418E-2</v>
      </c>
      <c r="D858" s="1">
        <f t="shared" si="25"/>
        <v>0.47222843590290337</v>
      </c>
    </row>
    <row r="859" spans="1:4" x14ac:dyDescent="0.2">
      <c r="A859" s="4">
        <v>39584</v>
      </c>
      <c r="B859" s="5">
        <v>187.62</v>
      </c>
      <c r="C859" s="1">
        <f t="shared" si="26"/>
        <v>-1.1183368178237257E-2</v>
      </c>
      <c r="D859" s="1">
        <f t="shared" si="25"/>
        <v>0.4640850058682976</v>
      </c>
    </row>
    <row r="860" spans="1:4" x14ac:dyDescent="0.2">
      <c r="A860" s="4">
        <v>39587</v>
      </c>
      <c r="B860" s="5">
        <v>183.6</v>
      </c>
      <c r="C860" s="1">
        <f t="shared" si="26"/>
        <v>-2.1659162511414917E-2</v>
      </c>
      <c r="D860" s="1">
        <f t="shared" si="25"/>
        <v>0.47126327284573838</v>
      </c>
    </row>
    <row r="861" spans="1:4" x14ac:dyDescent="0.2">
      <c r="A861" s="4">
        <v>39588</v>
      </c>
      <c r="B861" s="5">
        <v>185.9</v>
      </c>
      <c r="C861" s="1">
        <f t="shared" si="26"/>
        <v>1.2449416541008273E-2</v>
      </c>
      <c r="D861" s="1">
        <f t="shared" si="25"/>
        <v>0.46439850470254568</v>
      </c>
    </row>
    <row r="862" spans="1:4" x14ac:dyDescent="0.2">
      <c r="A862" s="4">
        <v>39589</v>
      </c>
      <c r="B862" s="5">
        <v>178.19</v>
      </c>
      <c r="C862" s="1">
        <f t="shared" si="26"/>
        <v>-4.2358497988075033E-2</v>
      </c>
      <c r="D862" s="1">
        <f t="shared" si="25"/>
        <v>0.46090976888863205</v>
      </c>
    </row>
    <row r="863" spans="1:4" x14ac:dyDescent="0.2">
      <c r="A863" s="4">
        <v>39590</v>
      </c>
      <c r="B863" s="5">
        <v>177.05</v>
      </c>
      <c r="C863" s="1">
        <f t="shared" si="26"/>
        <v>-6.4182181814105132E-3</v>
      </c>
      <c r="D863" s="1">
        <f t="shared" si="25"/>
        <v>0.45992734653490941</v>
      </c>
    </row>
    <row r="864" spans="1:4" x14ac:dyDescent="0.2">
      <c r="A864" s="4">
        <v>39591</v>
      </c>
      <c r="B864" s="5">
        <v>181.17</v>
      </c>
      <c r="C864" s="1">
        <f t="shared" si="26"/>
        <v>2.3003638430006634E-2</v>
      </c>
      <c r="D864" s="1">
        <f t="shared" si="25"/>
        <v>0.46149081525173108</v>
      </c>
    </row>
    <row r="865" spans="1:4" x14ac:dyDescent="0.2">
      <c r="A865" s="4">
        <v>39595</v>
      </c>
      <c r="B865" s="5">
        <v>186.43</v>
      </c>
      <c r="C865" s="1">
        <f t="shared" si="26"/>
        <v>2.8620016519450661E-2</v>
      </c>
      <c r="D865" s="1">
        <f t="shared" si="25"/>
        <v>0.46258484282431744</v>
      </c>
    </row>
    <row r="866" spans="1:4" x14ac:dyDescent="0.2">
      <c r="A866" s="4">
        <v>39596</v>
      </c>
      <c r="B866" s="5">
        <v>187.01</v>
      </c>
      <c r="C866" s="1">
        <f t="shared" si="26"/>
        <v>3.1062578532583419E-3</v>
      </c>
      <c r="D866" s="1">
        <f t="shared" si="25"/>
        <v>0.46238546930520147</v>
      </c>
    </row>
    <row r="867" spans="1:4" x14ac:dyDescent="0.2">
      <c r="A867" s="4">
        <v>39597</v>
      </c>
      <c r="B867" s="5">
        <v>186.69</v>
      </c>
      <c r="C867" s="1">
        <f t="shared" si="26"/>
        <v>-1.7126041113923452E-3</v>
      </c>
      <c r="D867" s="1">
        <f t="shared" si="25"/>
        <v>0.45022188207110403</v>
      </c>
    </row>
    <row r="868" spans="1:4" x14ac:dyDescent="0.2">
      <c r="A868" s="4">
        <v>39598</v>
      </c>
      <c r="B868" s="5">
        <v>188.75</v>
      </c>
      <c r="C868" s="1">
        <f t="shared" si="26"/>
        <v>1.0973900879897813E-2</v>
      </c>
      <c r="D868" s="1">
        <f t="shared" si="25"/>
        <v>0.44223882594844255</v>
      </c>
    </row>
    <row r="869" spans="1:4" x14ac:dyDescent="0.2">
      <c r="A869" s="4">
        <v>39601</v>
      </c>
      <c r="B869" s="5">
        <v>186.1</v>
      </c>
      <c r="C869" s="1">
        <f t="shared" si="26"/>
        <v>-1.4139224480929021E-2</v>
      </c>
      <c r="D869" s="1">
        <f t="shared" si="25"/>
        <v>0.44256798575170564</v>
      </c>
    </row>
    <row r="870" spans="1:4" x14ac:dyDescent="0.2">
      <c r="A870" s="4">
        <v>39602</v>
      </c>
      <c r="B870" s="5">
        <v>185.37</v>
      </c>
      <c r="C870" s="1">
        <f t="shared" si="26"/>
        <v>-3.9303359072071324E-3</v>
      </c>
      <c r="D870" s="1">
        <f t="shared" si="25"/>
        <v>0.42996993321223309</v>
      </c>
    </row>
    <row r="871" spans="1:4" x14ac:dyDescent="0.2">
      <c r="A871" s="4">
        <v>39603</v>
      </c>
      <c r="B871" s="5">
        <v>185.19</v>
      </c>
      <c r="C871" s="1">
        <f t="shared" si="26"/>
        <v>-9.7150266708368664E-4</v>
      </c>
      <c r="D871" s="1">
        <f t="shared" si="25"/>
        <v>0.4301432900812156</v>
      </c>
    </row>
    <row r="872" spans="1:4" x14ac:dyDescent="0.2">
      <c r="A872" s="4">
        <v>39604</v>
      </c>
      <c r="B872" s="5">
        <v>189.43</v>
      </c>
      <c r="C872" s="1">
        <f t="shared" si="26"/>
        <v>2.2637238066273289E-2</v>
      </c>
      <c r="D872" s="1">
        <f t="shared" si="25"/>
        <v>0.42807850965144578</v>
      </c>
    </row>
    <row r="873" spans="1:4" x14ac:dyDescent="0.2">
      <c r="A873" s="4">
        <v>39605</v>
      </c>
      <c r="B873" s="5">
        <v>185.64</v>
      </c>
      <c r="C873" s="1">
        <f t="shared" si="26"/>
        <v>-2.0210248767212422E-2</v>
      </c>
      <c r="D873" s="1">
        <f t="shared" si="25"/>
        <v>0.42038318838804956</v>
      </c>
    </row>
    <row r="874" spans="1:4" x14ac:dyDescent="0.2">
      <c r="A874" s="4">
        <v>39608</v>
      </c>
      <c r="B874" s="5">
        <v>181.61</v>
      </c>
      <c r="C874" s="1">
        <f t="shared" si="26"/>
        <v>-2.1947783642567685E-2</v>
      </c>
      <c r="D874" s="1">
        <f t="shared" si="25"/>
        <v>0.42507306696336727</v>
      </c>
    </row>
    <row r="875" spans="1:4" x14ac:dyDescent="0.2">
      <c r="A875" s="4">
        <v>39609</v>
      </c>
      <c r="B875" s="5">
        <v>185.64</v>
      </c>
      <c r="C875" s="1">
        <f t="shared" si="26"/>
        <v>2.1947783642567741E-2</v>
      </c>
      <c r="D875" s="1">
        <f t="shared" si="25"/>
        <v>0.42757216549407695</v>
      </c>
    </row>
    <row r="876" spans="1:4" x14ac:dyDescent="0.2">
      <c r="A876" s="4">
        <v>39610</v>
      </c>
      <c r="B876" s="5">
        <v>180.81</v>
      </c>
      <c r="C876" s="1">
        <f t="shared" si="26"/>
        <v>-2.636255820991254E-2</v>
      </c>
      <c r="D876" s="1">
        <f t="shared" si="25"/>
        <v>0.42411670964323478</v>
      </c>
    </row>
    <row r="877" spans="1:4" x14ac:dyDescent="0.2">
      <c r="A877" s="4">
        <v>39611</v>
      </c>
      <c r="B877" s="5">
        <v>173.26</v>
      </c>
      <c r="C877" s="1">
        <f t="shared" si="26"/>
        <v>-4.265339970106824E-2</v>
      </c>
      <c r="D877" s="1">
        <f t="shared" si="25"/>
        <v>0.43992436556725811</v>
      </c>
    </row>
    <row r="878" spans="1:4" x14ac:dyDescent="0.2">
      <c r="A878" s="4">
        <v>39612</v>
      </c>
      <c r="B878" s="5">
        <v>172.37</v>
      </c>
      <c r="C878" s="1">
        <f t="shared" si="26"/>
        <v>-5.1500272956941139E-3</v>
      </c>
      <c r="D878" s="1">
        <f t="shared" si="25"/>
        <v>0.43530048602586457</v>
      </c>
    </row>
    <row r="879" spans="1:4" x14ac:dyDescent="0.2">
      <c r="A879" s="4">
        <v>39615</v>
      </c>
      <c r="B879" s="5">
        <v>176.84</v>
      </c>
      <c r="C879" s="1">
        <f t="shared" si="26"/>
        <v>2.5602039791742463E-2</v>
      </c>
      <c r="D879" s="1">
        <f t="shared" si="25"/>
        <v>0.43934904742416742</v>
      </c>
    </row>
    <row r="880" spans="1:4" x14ac:dyDescent="0.2">
      <c r="A880" s="4">
        <v>39616</v>
      </c>
      <c r="B880" s="5">
        <v>181.43</v>
      </c>
      <c r="C880" s="1">
        <f t="shared" si="26"/>
        <v>2.5624535424029392E-2</v>
      </c>
      <c r="D880" s="1">
        <f t="shared" si="25"/>
        <v>0.44173088642866876</v>
      </c>
    </row>
    <row r="881" spans="1:4" x14ac:dyDescent="0.2">
      <c r="A881" s="4">
        <v>39617</v>
      </c>
      <c r="B881" s="5">
        <v>178.75</v>
      </c>
      <c r="C881" s="1">
        <f t="shared" si="26"/>
        <v>-1.4881722807954766E-2</v>
      </c>
      <c r="D881" s="1">
        <f t="shared" si="25"/>
        <v>0.44004956938816286</v>
      </c>
    </row>
    <row r="882" spans="1:4" x14ac:dyDescent="0.2">
      <c r="A882" s="4">
        <v>39618</v>
      </c>
      <c r="B882" s="5">
        <v>180.9</v>
      </c>
      <c r="C882" s="1">
        <f t="shared" si="26"/>
        <v>1.1956210827132507E-2</v>
      </c>
      <c r="D882" s="1">
        <f t="shared" si="25"/>
        <v>0.43934469602415316</v>
      </c>
    </row>
    <row r="883" spans="1:4" x14ac:dyDescent="0.2">
      <c r="A883" s="4">
        <v>39619</v>
      </c>
      <c r="B883" s="5">
        <v>175.27</v>
      </c>
      <c r="C883" s="1">
        <f t="shared" si="26"/>
        <v>-3.1616750316164816E-2</v>
      </c>
      <c r="D883" s="1">
        <f t="shared" si="25"/>
        <v>0.4469238603327646</v>
      </c>
    </row>
    <row r="884" spans="1:4" x14ac:dyDescent="0.2">
      <c r="A884" s="4">
        <v>39622</v>
      </c>
      <c r="B884" s="5">
        <v>173.16</v>
      </c>
      <c r="C884" s="1">
        <f t="shared" si="26"/>
        <v>-1.2111619511304924E-2</v>
      </c>
      <c r="D884" s="1">
        <f t="shared" si="25"/>
        <v>0.42574559837538234</v>
      </c>
    </row>
    <row r="885" spans="1:4" x14ac:dyDescent="0.2">
      <c r="A885" s="4">
        <v>39623</v>
      </c>
      <c r="B885" s="5">
        <v>173.25</v>
      </c>
      <c r="C885" s="1">
        <f t="shared" si="26"/>
        <v>5.196154962327853E-4</v>
      </c>
      <c r="D885" s="1">
        <f t="shared" si="25"/>
        <v>0.42579830508578215</v>
      </c>
    </row>
    <row r="886" spans="1:4" x14ac:dyDescent="0.2">
      <c r="A886" s="4">
        <v>39624</v>
      </c>
      <c r="B886" s="5">
        <v>177.39</v>
      </c>
      <c r="C886" s="1">
        <f t="shared" si="26"/>
        <v>2.3615060430835569E-2</v>
      </c>
      <c r="D886" s="1">
        <f t="shared" si="25"/>
        <v>0.42936241700154382</v>
      </c>
    </row>
    <row r="887" spans="1:4" x14ac:dyDescent="0.2">
      <c r="A887" s="4">
        <v>39625</v>
      </c>
      <c r="B887" s="5">
        <v>168.26</v>
      </c>
      <c r="C887" s="1">
        <f t="shared" si="26"/>
        <v>-5.2840296378180669E-2</v>
      </c>
      <c r="D887" s="1">
        <f t="shared" si="25"/>
        <v>0.44658421682442595</v>
      </c>
    </row>
    <row r="888" spans="1:4" x14ac:dyDescent="0.2">
      <c r="A888" s="4">
        <v>39626</v>
      </c>
      <c r="B888" s="5">
        <v>170.09</v>
      </c>
      <c r="C888" s="1">
        <f t="shared" si="26"/>
        <v>1.081730660333286E-2</v>
      </c>
      <c r="D888" s="1">
        <f t="shared" si="25"/>
        <v>0.44716331379580693</v>
      </c>
    </row>
    <row r="889" spans="1:4" x14ac:dyDescent="0.2">
      <c r="A889" s="4">
        <v>39629</v>
      </c>
      <c r="B889" s="5">
        <v>167.44</v>
      </c>
      <c r="C889" s="1">
        <f t="shared" si="26"/>
        <v>-1.5702630588256015E-2</v>
      </c>
      <c r="D889" s="1">
        <f t="shared" si="25"/>
        <v>0.43600534222935494</v>
      </c>
    </row>
    <row r="890" spans="1:4" x14ac:dyDescent="0.2">
      <c r="A890" s="4">
        <v>39630</v>
      </c>
      <c r="B890" s="5">
        <v>174.68</v>
      </c>
      <c r="C890" s="1">
        <f t="shared" si="26"/>
        <v>4.2330650479616053E-2</v>
      </c>
      <c r="D890" s="1">
        <f t="shared" si="25"/>
        <v>0.43533530006113658</v>
      </c>
    </row>
    <row r="891" spans="1:4" x14ac:dyDescent="0.2">
      <c r="A891" s="4">
        <v>39631</v>
      </c>
      <c r="B891" s="5">
        <v>168.18</v>
      </c>
      <c r="C891" s="1">
        <f t="shared" si="26"/>
        <v>-3.7920894212608344E-2</v>
      </c>
      <c r="D891" s="1">
        <f t="shared" si="25"/>
        <v>0.42728822045605341</v>
      </c>
    </row>
    <row r="892" spans="1:4" x14ac:dyDescent="0.2">
      <c r="A892" s="4">
        <v>39632</v>
      </c>
      <c r="B892" s="5">
        <v>170.12</v>
      </c>
      <c r="C892" s="1">
        <f t="shared" si="26"/>
        <v>1.14692359806808E-2</v>
      </c>
      <c r="D892" s="1">
        <f t="shared" si="25"/>
        <v>0.42609929820368514</v>
      </c>
    </row>
    <row r="893" spans="1:4" x14ac:dyDescent="0.2">
      <c r="A893" s="4">
        <v>39636</v>
      </c>
      <c r="B893" s="5">
        <v>175.16</v>
      </c>
      <c r="C893" s="1">
        <f t="shared" si="26"/>
        <v>2.9195771547764784E-2</v>
      </c>
      <c r="D893" s="1">
        <f t="shared" ref="D893:D900" si="27">STDEV(C844:C893)*SQRT($B$2)</f>
        <v>0.42200654115459152</v>
      </c>
    </row>
    <row r="894" spans="1:4" x14ac:dyDescent="0.2">
      <c r="A894" s="4">
        <v>39637</v>
      </c>
      <c r="B894" s="5">
        <v>179.55</v>
      </c>
      <c r="C894" s="1">
        <f t="shared" si="26"/>
        <v>2.4753878738894328E-2</v>
      </c>
      <c r="D894" s="1">
        <f t="shared" si="27"/>
        <v>0.42686678465802963</v>
      </c>
    </row>
    <row r="895" spans="1:4" x14ac:dyDescent="0.2">
      <c r="A895" s="4">
        <v>39638</v>
      </c>
      <c r="B895" s="5">
        <v>174.25</v>
      </c>
      <c r="C895" s="1">
        <f t="shared" si="26"/>
        <v>-2.9962671031458693E-2</v>
      </c>
      <c r="D895" s="1">
        <f t="shared" si="27"/>
        <v>0.43329971721849347</v>
      </c>
    </row>
    <row r="896" spans="1:4" x14ac:dyDescent="0.2">
      <c r="A896" s="4">
        <v>39639</v>
      </c>
      <c r="B896" s="5">
        <v>176.63</v>
      </c>
      <c r="C896" s="1">
        <f t="shared" si="26"/>
        <v>1.3566099526718852E-2</v>
      </c>
      <c r="D896" s="1">
        <f t="shared" si="27"/>
        <v>0.43263935792648545</v>
      </c>
    </row>
    <row r="897" spans="1:4" x14ac:dyDescent="0.2">
      <c r="A897" s="4">
        <v>39640</v>
      </c>
      <c r="B897" s="5">
        <v>172.58</v>
      </c>
      <c r="C897" s="1">
        <f t="shared" si="26"/>
        <v>-2.3196252087190502E-2</v>
      </c>
      <c r="D897" s="1">
        <f t="shared" si="27"/>
        <v>0.43691139836262627</v>
      </c>
    </row>
    <row r="898" spans="1:4" x14ac:dyDescent="0.2">
      <c r="A898" s="4">
        <v>39643</v>
      </c>
      <c r="B898" s="5">
        <v>173.88</v>
      </c>
      <c r="C898" s="1">
        <f t="shared" si="26"/>
        <v>7.5045090404297424E-3</v>
      </c>
      <c r="D898" s="1">
        <f t="shared" si="27"/>
        <v>0.42712426087657995</v>
      </c>
    </row>
    <row r="899" spans="1:4" x14ac:dyDescent="0.2">
      <c r="A899" s="4">
        <v>39644</v>
      </c>
      <c r="B899" s="5">
        <v>169.64</v>
      </c>
      <c r="C899" s="1">
        <f t="shared" si="26"/>
        <v>-2.468686151420137E-2</v>
      </c>
      <c r="D899" s="1">
        <f t="shared" si="27"/>
        <v>0.4316613045060716</v>
      </c>
    </row>
    <row r="900" spans="1:4" x14ac:dyDescent="0.2">
      <c r="A900" s="6">
        <v>39645</v>
      </c>
      <c r="B900" s="7">
        <v>172.81</v>
      </c>
      <c r="C900" s="1">
        <f t="shared" si="26"/>
        <v>1.8514180459510553E-2</v>
      </c>
      <c r="D900" s="1">
        <f t="shared" si="27"/>
        <v>0.4308601708413361</v>
      </c>
    </row>
    <row r="901" spans="1:4" x14ac:dyDescent="0.2">
      <c r="D901" s="1"/>
    </row>
    <row r="902" spans="1:4" x14ac:dyDescent="0.2">
      <c r="D902" s="1"/>
    </row>
    <row r="903" spans="1:4" x14ac:dyDescent="0.2">
      <c r="D903" s="1"/>
    </row>
    <row r="904" spans="1:4" x14ac:dyDescent="0.2">
      <c r="D904" s="1"/>
    </row>
    <row r="905" spans="1:4" x14ac:dyDescent="0.2">
      <c r="D905" s="1"/>
    </row>
    <row r="906" spans="1:4" x14ac:dyDescent="0.2">
      <c r="D906" s="1"/>
    </row>
    <row r="907" spans="1:4" x14ac:dyDescent="0.2">
      <c r="D907" s="1"/>
    </row>
    <row r="908" spans="1:4" x14ac:dyDescent="0.2">
      <c r="D908" s="1"/>
    </row>
    <row r="909" spans="1:4" x14ac:dyDescent="0.2">
      <c r="D909" s="1"/>
    </row>
    <row r="910" spans="1:4" x14ac:dyDescent="0.2">
      <c r="D910" s="1"/>
    </row>
    <row r="911" spans="1:4" x14ac:dyDescent="0.2">
      <c r="D911" s="1"/>
    </row>
    <row r="912" spans="1:4" x14ac:dyDescent="0.2">
      <c r="D912" s="1"/>
    </row>
    <row r="913" spans="4:4" x14ac:dyDescent="0.2">
      <c r="D913" s="1"/>
    </row>
    <row r="914" spans="4:4" x14ac:dyDescent="0.2">
      <c r="D914" s="1"/>
    </row>
    <row r="915" spans="4:4" x14ac:dyDescent="0.2">
      <c r="D915" s="1"/>
    </row>
    <row r="916" spans="4:4" x14ac:dyDescent="0.2">
      <c r="D916" s="1"/>
    </row>
    <row r="917" spans="4:4" x14ac:dyDescent="0.2">
      <c r="D917" s="1"/>
    </row>
    <row r="918" spans="4:4" x14ac:dyDescent="0.2">
      <c r="D918" s="1"/>
    </row>
    <row r="919" spans="4:4" x14ac:dyDescent="0.2">
      <c r="D919" s="1"/>
    </row>
    <row r="920" spans="4:4" x14ac:dyDescent="0.2">
      <c r="D920" s="1"/>
    </row>
    <row r="921" spans="4:4" x14ac:dyDescent="0.2">
      <c r="D921" s="1"/>
    </row>
    <row r="922" spans="4:4" x14ac:dyDescent="0.2">
      <c r="D922" s="1"/>
    </row>
    <row r="923" spans="4:4" x14ac:dyDescent="0.2">
      <c r="D923" s="1"/>
    </row>
    <row r="924" spans="4:4" x14ac:dyDescent="0.2">
      <c r="D924" s="1"/>
    </row>
    <row r="925" spans="4:4" x14ac:dyDescent="0.2">
      <c r="D925" s="1"/>
    </row>
    <row r="926" spans="4:4" x14ac:dyDescent="0.2">
      <c r="D926" s="1"/>
    </row>
    <row r="927" spans="4:4" x14ac:dyDescent="0.2">
      <c r="D927" s="1"/>
    </row>
    <row r="928" spans="4:4" x14ac:dyDescent="0.2">
      <c r="D928" s="1"/>
    </row>
    <row r="929" spans="4:4" x14ac:dyDescent="0.2">
      <c r="D929" s="1"/>
    </row>
    <row r="930" spans="4:4" x14ac:dyDescent="0.2">
      <c r="D930" s="1"/>
    </row>
    <row r="931" spans="4:4" x14ac:dyDescent="0.2">
      <c r="D931" s="1"/>
    </row>
    <row r="932" spans="4:4" x14ac:dyDescent="0.2">
      <c r="D932" s="1"/>
    </row>
    <row r="933" spans="4:4" x14ac:dyDescent="0.2">
      <c r="D933" s="1"/>
    </row>
    <row r="934" spans="4:4" x14ac:dyDescent="0.2">
      <c r="D934" s="1"/>
    </row>
    <row r="935" spans="4:4" x14ac:dyDescent="0.2">
      <c r="D935" s="1"/>
    </row>
    <row r="936" spans="4:4" x14ac:dyDescent="0.2">
      <c r="D936" s="1"/>
    </row>
    <row r="937" spans="4:4" x14ac:dyDescent="0.2">
      <c r="D937" s="1"/>
    </row>
    <row r="938" spans="4:4" x14ac:dyDescent="0.2">
      <c r="D938" s="1"/>
    </row>
    <row r="939" spans="4:4" x14ac:dyDescent="0.2">
      <c r="D939" s="1"/>
    </row>
    <row r="940" spans="4:4" x14ac:dyDescent="0.2">
      <c r="D940" s="1"/>
    </row>
    <row r="941" spans="4:4" x14ac:dyDescent="0.2">
      <c r="D941" s="1"/>
    </row>
    <row r="942" spans="4:4" x14ac:dyDescent="0.2">
      <c r="D942" s="1"/>
    </row>
    <row r="943" spans="4:4" x14ac:dyDescent="0.2">
      <c r="D943" s="1"/>
    </row>
    <row r="944" spans="4:4" x14ac:dyDescent="0.2">
      <c r="D944" s="1"/>
    </row>
    <row r="945" spans="4:4" x14ac:dyDescent="0.2">
      <c r="D945" s="1"/>
    </row>
    <row r="946" spans="4:4" x14ac:dyDescent="0.2">
      <c r="D946" s="1"/>
    </row>
    <row r="947" spans="4:4" x14ac:dyDescent="0.2">
      <c r="D947" s="1"/>
    </row>
    <row r="948" spans="4:4" x14ac:dyDescent="0.2">
      <c r="D948" s="1"/>
    </row>
    <row r="949" spans="4:4" x14ac:dyDescent="0.2">
      <c r="D949" s="1"/>
    </row>
    <row r="950" spans="4:4" x14ac:dyDescent="0.2">
      <c r="D950" s="1"/>
    </row>
    <row r="951" spans="4:4" x14ac:dyDescent="0.2">
      <c r="D951" s="1"/>
    </row>
    <row r="952" spans="4:4" x14ac:dyDescent="0.2">
      <c r="D952" s="1"/>
    </row>
    <row r="953" spans="4:4" x14ac:dyDescent="0.2">
      <c r="D953" s="1"/>
    </row>
    <row r="954" spans="4:4" x14ac:dyDescent="0.2">
      <c r="D954" s="1"/>
    </row>
    <row r="955" spans="4:4" x14ac:dyDescent="0.2">
      <c r="D955" s="1"/>
    </row>
    <row r="956" spans="4:4" x14ac:dyDescent="0.2">
      <c r="D956" s="1"/>
    </row>
    <row r="957" spans="4:4" x14ac:dyDescent="0.2">
      <c r="D957" s="1"/>
    </row>
    <row r="958" spans="4:4" x14ac:dyDescent="0.2">
      <c r="D958" s="1"/>
    </row>
    <row r="959" spans="4:4" x14ac:dyDescent="0.2">
      <c r="D959" s="1"/>
    </row>
    <row r="960" spans="4:4" x14ac:dyDescent="0.2">
      <c r="D960" s="1"/>
    </row>
    <row r="961" spans="4:4" x14ac:dyDescent="0.2">
      <c r="D961" s="1"/>
    </row>
    <row r="962" spans="4:4" x14ac:dyDescent="0.2">
      <c r="D962" s="1"/>
    </row>
    <row r="963" spans="4:4" x14ac:dyDescent="0.2">
      <c r="D963" s="1"/>
    </row>
    <row r="964" spans="4:4" x14ac:dyDescent="0.2">
      <c r="D964" s="1"/>
    </row>
    <row r="965" spans="4:4" x14ac:dyDescent="0.2">
      <c r="D965" s="1"/>
    </row>
    <row r="966" spans="4:4" x14ac:dyDescent="0.2">
      <c r="D966" s="1"/>
    </row>
    <row r="967" spans="4:4" x14ac:dyDescent="0.2">
      <c r="D967" s="1"/>
    </row>
    <row r="968" spans="4:4" x14ac:dyDescent="0.2">
      <c r="D968" s="1"/>
    </row>
    <row r="969" spans="4:4" x14ac:dyDescent="0.2">
      <c r="D969" s="1"/>
    </row>
    <row r="970" spans="4:4" x14ac:dyDescent="0.2">
      <c r="D970" s="1"/>
    </row>
    <row r="971" spans="4:4" x14ac:dyDescent="0.2">
      <c r="D971" s="1"/>
    </row>
    <row r="972" spans="4:4" x14ac:dyDescent="0.2">
      <c r="D972" s="1"/>
    </row>
    <row r="973" spans="4:4" x14ac:dyDescent="0.2">
      <c r="D973" s="1"/>
    </row>
    <row r="974" spans="4:4" x14ac:dyDescent="0.2">
      <c r="D974" s="1"/>
    </row>
    <row r="975" spans="4:4" x14ac:dyDescent="0.2">
      <c r="D975" s="1"/>
    </row>
    <row r="976" spans="4:4" x14ac:dyDescent="0.2">
      <c r="D976" s="1"/>
    </row>
    <row r="977" spans="4:4" x14ac:dyDescent="0.2">
      <c r="D977" s="1"/>
    </row>
    <row r="978" spans="4:4" x14ac:dyDescent="0.2">
      <c r="D978" s="1"/>
    </row>
    <row r="979" spans="4:4" x14ac:dyDescent="0.2">
      <c r="D979" s="1"/>
    </row>
    <row r="980" spans="4:4" x14ac:dyDescent="0.2">
      <c r="D980" s="1"/>
    </row>
    <row r="981" spans="4:4" x14ac:dyDescent="0.2">
      <c r="D981" s="1"/>
    </row>
    <row r="982" spans="4:4" x14ac:dyDescent="0.2">
      <c r="D982" s="1"/>
    </row>
    <row r="983" spans="4:4" x14ac:dyDescent="0.2">
      <c r="D983" s="1"/>
    </row>
    <row r="984" spans="4:4" x14ac:dyDescent="0.2">
      <c r="D984" s="1"/>
    </row>
    <row r="985" spans="4:4" x14ac:dyDescent="0.2">
      <c r="D985" s="1"/>
    </row>
    <row r="986" spans="4:4" x14ac:dyDescent="0.2">
      <c r="D986" s="1"/>
    </row>
    <row r="987" spans="4:4" x14ac:dyDescent="0.2">
      <c r="D987" s="1"/>
    </row>
    <row r="988" spans="4:4" x14ac:dyDescent="0.2">
      <c r="D988" s="1"/>
    </row>
    <row r="989" spans="4:4" x14ac:dyDescent="0.2">
      <c r="D989" s="1"/>
    </row>
    <row r="990" spans="4:4" x14ac:dyDescent="0.2">
      <c r="D990" s="1"/>
    </row>
    <row r="991" spans="4:4" x14ac:dyDescent="0.2">
      <c r="D991" s="1"/>
    </row>
    <row r="992" spans="4:4" x14ac:dyDescent="0.2">
      <c r="D992" s="1"/>
    </row>
    <row r="993" spans="4:4" x14ac:dyDescent="0.2">
      <c r="D993" s="1"/>
    </row>
    <row r="994" spans="4:4" x14ac:dyDescent="0.2">
      <c r="D994" s="1"/>
    </row>
    <row r="995" spans="4:4" x14ac:dyDescent="0.2">
      <c r="D995" s="1"/>
    </row>
    <row r="996" spans="4:4" x14ac:dyDescent="0.2">
      <c r="D996" s="1"/>
    </row>
    <row r="997" spans="4:4" x14ac:dyDescent="0.2">
      <c r="D997" s="1"/>
    </row>
    <row r="998" spans="4:4" x14ac:dyDescent="0.2">
      <c r="D998" s="1"/>
    </row>
    <row r="999" spans="4:4" x14ac:dyDescent="0.2">
      <c r="D999" s="1"/>
    </row>
    <row r="1000" spans="4:4" x14ac:dyDescent="0.2">
      <c r="D1000" s="1"/>
    </row>
    <row r="1001" spans="4:4" x14ac:dyDescent="0.2">
      <c r="D1001" s="1"/>
    </row>
    <row r="1002" spans="4:4" x14ac:dyDescent="0.2">
      <c r="D1002" s="1"/>
    </row>
    <row r="1003" spans="4:4" x14ac:dyDescent="0.2">
      <c r="D1003" s="1"/>
    </row>
    <row r="1004" spans="4:4" x14ac:dyDescent="0.2">
      <c r="D1004" s="1"/>
    </row>
    <row r="1005" spans="4:4" x14ac:dyDescent="0.2">
      <c r="D1005" s="1"/>
    </row>
    <row r="1006" spans="4:4" x14ac:dyDescent="0.2">
      <c r="D1006" s="1"/>
    </row>
    <row r="1007" spans="4:4" x14ac:dyDescent="0.2">
      <c r="D1007" s="1"/>
    </row>
    <row r="1008" spans="4:4" x14ac:dyDescent="0.2">
      <c r="D1008" s="1"/>
    </row>
    <row r="1009" spans="4:4" x14ac:dyDescent="0.2">
      <c r="D1009" s="1"/>
    </row>
    <row r="1010" spans="4:4" x14ac:dyDescent="0.2">
      <c r="D1010" s="1"/>
    </row>
    <row r="1011" spans="4:4" x14ac:dyDescent="0.2">
      <c r="D1011" s="1"/>
    </row>
    <row r="1012" spans="4:4" x14ac:dyDescent="0.2">
      <c r="D1012" s="1"/>
    </row>
    <row r="1013" spans="4:4" x14ac:dyDescent="0.2">
      <c r="D1013" s="1"/>
    </row>
    <row r="1014" spans="4:4" x14ac:dyDescent="0.2">
      <c r="D1014" s="1"/>
    </row>
    <row r="1015" spans="4:4" x14ac:dyDescent="0.2">
      <c r="D1015" s="1"/>
    </row>
    <row r="1016" spans="4:4" x14ac:dyDescent="0.2">
      <c r="D1016" s="1"/>
    </row>
    <row r="1017" spans="4:4" x14ac:dyDescent="0.2">
      <c r="D1017" s="1"/>
    </row>
    <row r="1018" spans="4:4" x14ac:dyDescent="0.2">
      <c r="D1018" s="1"/>
    </row>
    <row r="1019" spans="4:4" x14ac:dyDescent="0.2">
      <c r="D1019" s="1"/>
    </row>
    <row r="1020" spans="4:4" x14ac:dyDescent="0.2">
      <c r="D1020" s="1"/>
    </row>
    <row r="1021" spans="4:4" x14ac:dyDescent="0.2">
      <c r="D1021" s="1"/>
    </row>
    <row r="1022" spans="4:4" x14ac:dyDescent="0.2">
      <c r="D1022" s="1"/>
    </row>
    <row r="1023" spans="4:4" x14ac:dyDescent="0.2">
      <c r="D1023" s="1"/>
    </row>
    <row r="1024" spans="4:4" x14ac:dyDescent="0.2">
      <c r="D1024" s="1"/>
    </row>
    <row r="1025" spans="4:4" x14ac:dyDescent="0.2">
      <c r="D1025" s="1"/>
    </row>
    <row r="1026" spans="4:4" x14ac:dyDescent="0.2">
      <c r="D1026" s="1"/>
    </row>
    <row r="1027" spans="4:4" x14ac:dyDescent="0.2">
      <c r="D1027" s="1"/>
    </row>
    <row r="1028" spans="4:4" x14ac:dyDescent="0.2">
      <c r="D1028" s="1"/>
    </row>
    <row r="1029" spans="4:4" x14ac:dyDescent="0.2">
      <c r="D1029" s="1"/>
    </row>
    <row r="1030" spans="4:4" x14ac:dyDescent="0.2">
      <c r="D1030" s="1"/>
    </row>
    <row r="1031" spans="4:4" x14ac:dyDescent="0.2">
      <c r="D1031" s="1"/>
    </row>
    <row r="1032" spans="4:4" x14ac:dyDescent="0.2">
      <c r="D1032" s="1"/>
    </row>
    <row r="1033" spans="4:4" x14ac:dyDescent="0.2">
      <c r="D1033" s="1"/>
    </row>
    <row r="1034" spans="4:4" x14ac:dyDescent="0.2">
      <c r="D1034" s="1"/>
    </row>
    <row r="1035" spans="4:4" x14ac:dyDescent="0.2">
      <c r="D1035" s="1"/>
    </row>
    <row r="1036" spans="4:4" x14ac:dyDescent="0.2">
      <c r="D1036" s="1"/>
    </row>
    <row r="1037" spans="4:4" x14ac:dyDescent="0.2">
      <c r="D1037" s="1"/>
    </row>
    <row r="1038" spans="4:4" x14ac:dyDescent="0.2">
      <c r="D1038" s="1"/>
    </row>
    <row r="1039" spans="4:4" x14ac:dyDescent="0.2">
      <c r="D1039" s="1"/>
    </row>
    <row r="1040" spans="4:4" x14ac:dyDescent="0.2">
      <c r="D1040" s="1"/>
    </row>
    <row r="1041" spans="4:4" x14ac:dyDescent="0.2">
      <c r="D1041" s="1"/>
    </row>
    <row r="1042" spans="4:4" x14ac:dyDescent="0.2">
      <c r="D1042" s="1"/>
    </row>
    <row r="1043" spans="4:4" x14ac:dyDescent="0.2">
      <c r="D1043" s="1"/>
    </row>
    <row r="1044" spans="4:4" x14ac:dyDescent="0.2">
      <c r="D1044" s="1"/>
    </row>
    <row r="1045" spans="4:4" x14ac:dyDescent="0.2">
      <c r="D1045" s="1"/>
    </row>
    <row r="1046" spans="4:4" x14ac:dyDescent="0.2">
      <c r="D1046" s="1"/>
    </row>
    <row r="1047" spans="4:4" x14ac:dyDescent="0.2">
      <c r="D1047" s="1"/>
    </row>
    <row r="1048" spans="4:4" x14ac:dyDescent="0.2">
      <c r="D1048" s="1"/>
    </row>
    <row r="1049" spans="4:4" x14ac:dyDescent="0.2">
      <c r="D1049" s="1"/>
    </row>
    <row r="1050" spans="4:4" x14ac:dyDescent="0.2">
      <c r="D1050" s="1"/>
    </row>
    <row r="1051" spans="4:4" x14ac:dyDescent="0.2">
      <c r="D1051" s="1"/>
    </row>
    <row r="1052" spans="4:4" x14ac:dyDescent="0.2">
      <c r="D1052" s="1"/>
    </row>
    <row r="1053" spans="4:4" x14ac:dyDescent="0.2">
      <c r="D1053" s="1"/>
    </row>
    <row r="1054" spans="4:4" x14ac:dyDescent="0.2">
      <c r="D1054" s="1"/>
    </row>
    <row r="1055" spans="4:4" x14ac:dyDescent="0.2">
      <c r="D1055" s="1"/>
    </row>
    <row r="1056" spans="4:4" x14ac:dyDescent="0.2">
      <c r="D1056" s="1"/>
    </row>
    <row r="1057" spans="4:4" x14ac:dyDescent="0.2">
      <c r="D1057" s="1"/>
    </row>
    <row r="1058" spans="4:4" x14ac:dyDescent="0.2">
      <c r="D1058" s="1"/>
    </row>
    <row r="1059" spans="4:4" x14ac:dyDescent="0.2">
      <c r="D1059" s="1"/>
    </row>
    <row r="1060" spans="4:4" x14ac:dyDescent="0.2">
      <c r="D1060" s="1"/>
    </row>
    <row r="1061" spans="4:4" x14ac:dyDescent="0.2">
      <c r="D1061" s="1"/>
    </row>
    <row r="1062" spans="4:4" x14ac:dyDescent="0.2">
      <c r="D1062" s="1"/>
    </row>
    <row r="1063" spans="4:4" x14ac:dyDescent="0.2">
      <c r="D1063" s="1"/>
    </row>
    <row r="1064" spans="4:4" x14ac:dyDescent="0.2">
      <c r="D1064" s="1"/>
    </row>
    <row r="1065" spans="4:4" x14ac:dyDescent="0.2">
      <c r="D1065" s="1"/>
    </row>
    <row r="1066" spans="4:4" x14ac:dyDescent="0.2">
      <c r="D1066" s="1"/>
    </row>
    <row r="1067" spans="4:4" x14ac:dyDescent="0.2">
      <c r="D1067" s="1"/>
    </row>
    <row r="1068" spans="4:4" x14ac:dyDescent="0.2">
      <c r="D1068" s="1"/>
    </row>
    <row r="1069" spans="4:4" x14ac:dyDescent="0.2">
      <c r="D1069" s="1"/>
    </row>
    <row r="1070" spans="4:4" x14ac:dyDescent="0.2">
      <c r="D1070" s="1"/>
    </row>
    <row r="1071" spans="4:4" x14ac:dyDescent="0.2">
      <c r="D1071" s="1"/>
    </row>
    <row r="1072" spans="4:4" x14ac:dyDescent="0.2">
      <c r="D1072" s="1"/>
    </row>
    <row r="1073" spans="4:4" x14ac:dyDescent="0.2">
      <c r="D1073" s="1"/>
    </row>
    <row r="1074" spans="4:4" x14ac:dyDescent="0.2">
      <c r="D1074" s="1"/>
    </row>
    <row r="1075" spans="4:4" x14ac:dyDescent="0.2">
      <c r="D1075" s="1"/>
    </row>
    <row r="1076" spans="4:4" x14ac:dyDescent="0.2">
      <c r="D1076" s="1"/>
    </row>
    <row r="1077" spans="4:4" x14ac:dyDescent="0.2">
      <c r="D1077" s="1"/>
    </row>
    <row r="1078" spans="4:4" x14ac:dyDescent="0.2">
      <c r="D1078" s="1"/>
    </row>
    <row r="1079" spans="4:4" x14ac:dyDescent="0.2">
      <c r="D1079" s="1"/>
    </row>
    <row r="1080" spans="4:4" x14ac:dyDescent="0.2">
      <c r="D1080" s="1"/>
    </row>
    <row r="1081" spans="4:4" x14ac:dyDescent="0.2">
      <c r="D1081" s="1"/>
    </row>
    <row r="1082" spans="4:4" x14ac:dyDescent="0.2">
      <c r="D1082" s="1"/>
    </row>
    <row r="1083" spans="4:4" x14ac:dyDescent="0.2">
      <c r="D1083" s="1"/>
    </row>
    <row r="1084" spans="4:4" x14ac:dyDescent="0.2">
      <c r="D1084" s="1"/>
    </row>
    <row r="1085" spans="4:4" x14ac:dyDescent="0.2">
      <c r="D1085" s="1"/>
    </row>
    <row r="1086" spans="4:4" x14ac:dyDescent="0.2">
      <c r="D1086" s="1"/>
    </row>
    <row r="1087" spans="4:4" x14ac:dyDescent="0.2">
      <c r="D1087" s="1"/>
    </row>
    <row r="1088" spans="4:4" x14ac:dyDescent="0.2">
      <c r="D1088" s="1"/>
    </row>
    <row r="1089" spans="4:4" x14ac:dyDescent="0.2">
      <c r="D1089" s="1"/>
    </row>
    <row r="1090" spans="4:4" x14ac:dyDescent="0.2">
      <c r="D1090" s="1"/>
    </row>
    <row r="1091" spans="4:4" x14ac:dyDescent="0.2">
      <c r="D1091" s="1"/>
    </row>
    <row r="1092" spans="4:4" x14ac:dyDescent="0.2">
      <c r="D1092" s="1"/>
    </row>
    <row r="1093" spans="4:4" x14ac:dyDescent="0.2">
      <c r="D1093" s="1"/>
    </row>
    <row r="1094" spans="4:4" x14ac:dyDescent="0.2">
      <c r="D1094" s="1"/>
    </row>
    <row r="1095" spans="4:4" x14ac:dyDescent="0.2">
      <c r="D1095" s="1"/>
    </row>
    <row r="1096" spans="4:4" x14ac:dyDescent="0.2">
      <c r="D1096" s="1"/>
    </row>
    <row r="1097" spans="4:4" x14ac:dyDescent="0.2">
      <c r="D1097" s="1"/>
    </row>
    <row r="1098" spans="4:4" x14ac:dyDescent="0.2">
      <c r="D1098" s="1"/>
    </row>
    <row r="1099" spans="4:4" x14ac:dyDescent="0.2">
      <c r="D1099" s="1"/>
    </row>
    <row r="1100" spans="4:4" x14ac:dyDescent="0.2">
      <c r="D1100" s="1"/>
    </row>
    <row r="1101" spans="4:4" x14ac:dyDescent="0.2">
      <c r="D1101" s="1"/>
    </row>
    <row r="1102" spans="4:4" x14ac:dyDescent="0.2">
      <c r="D1102" s="1"/>
    </row>
    <row r="1103" spans="4:4" x14ac:dyDescent="0.2">
      <c r="D1103" s="1"/>
    </row>
    <row r="1104" spans="4:4" x14ac:dyDescent="0.2">
      <c r="D1104" s="1"/>
    </row>
    <row r="1105" spans="4:4" x14ac:dyDescent="0.2">
      <c r="D1105" s="1"/>
    </row>
    <row r="1106" spans="4:4" x14ac:dyDescent="0.2">
      <c r="D1106" s="1"/>
    </row>
    <row r="1107" spans="4:4" x14ac:dyDescent="0.2">
      <c r="D1107" s="1"/>
    </row>
    <row r="1108" spans="4:4" x14ac:dyDescent="0.2">
      <c r="D1108" s="1"/>
    </row>
    <row r="1109" spans="4:4" x14ac:dyDescent="0.2">
      <c r="D1109" s="1"/>
    </row>
    <row r="1110" spans="4:4" x14ac:dyDescent="0.2">
      <c r="D1110" s="1"/>
    </row>
    <row r="1111" spans="4:4" x14ac:dyDescent="0.2">
      <c r="D1111" s="1"/>
    </row>
    <row r="1112" spans="4:4" x14ac:dyDescent="0.2">
      <c r="D1112" s="1"/>
    </row>
    <row r="1113" spans="4:4" x14ac:dyDescent="0.2">
      <c r="D1113" s="1"/>
    </row>
    <row r="1114" spans="4:4" x14ac:dyDescent="0.2">
      <c r="D1114" s="1"/>
    </row>
    <row r="1115" spans="4:4" x14ac:dyDescent="0.2">
      <c r="D1115" s="1"/>
    </row>
    <row r="1116" spans="4:4" x14ac:dyDescent="0.2">
      <c r="D1116" s="1"/>
    </row>
    <row r="1117" spans="4:4" x14ac:dyDescent="0.2">
      <c r="D1117" s="1"/>
    </row>
    <row r="1118" spans="4:4" x14ac:dyDescent="0.2">
      <c r="D1118" s="1"/>
    </row>
    <row r="1119" spans="4:4" x14ac:dyDescent="0.2">
      <c r="D1119" s="1"/>
    </row>
    <row r="1120" spans="4:4" x14ac:dyDescent="0.2">
      <c r="D1120" s="1"/>
    </row>
    <row r="1121" spans="4:4" x14ac:dyDescent="0.2">
      <c r="D1121" s="1"/>
    </row>
    <row r="1122" spans="4:4" x14ac:dyDescent="0.2">
      <c r="D1122" s="1"/>
    </row>
    <row r="1123" spans="4:4" x14ac:dyDescent="0.2">
      <c r="D1123" s="1"/>
    </row>
    <row r="1124" spans="4:4" x14ac:dyDescent="0.2">
      <c r="D1124" s="1"/>
    </row>
    <row r="1125" spans="4:4" x14ac:dyDescent="0.2">
      <c r="D1125" s="1"/>
    </row>
    <row r="1126" spans="4:4" x14ac:dyDescent="0.2">
      <c r="D1126" s="1"/>
    </row>
    <row r="1127" spans="4:4" x14ac:dyDescent="0.2">
      <c r="D1127" s="1"/>
    </row>
    <row r="1128" spans="4:4" x14ac:dyDescent="0.2">
      <c r="D1128" s="1"/>
    </row>
    <row r="1129" spans="4:4" x14ac:dyDescent="0.2">
      <c r="D1129" s="1"/>
    </row>
    <row r="1130" spans="4:4" x14ac:dyDescent="0.2">
      <c r="D1130" s="1"/>
    </row>
    <row r="1131" spans="4:4" x14ac:dyDescent="0.2">
      <c r="D1131" s="1"/>
    </row>
    <row r="1132" spans="4:4" x14ac:dyDescent="0.2">
      <c r="D1132" s="1"/>
    </row>
    <row r="1133" spans="4:4" x14ac:dyDescent="0.2">
      <c r="D1133" s="1"/>
    </row>
    <row r="1134" spans="4:4" x14ac:dyDescent="0.2">
      <c r="D1134" s="1"/>
    </row>
    <row r="1135" spans="4:4" x14ac:dyDescent="0.2">
      <c r="D1135" s="1"/>
    </row>
    <row r="1136" spans="4:4" x14ac:dyDescent="0.2">
      <c r="D1136" s="1"/>
    </row>
    <row r="1137" spans="4:4" x14ac:dyDescent="0.2">
      <c r="D1137" s="1"/>
    </row>
    <row r="1138" spans="4:4" x14ac:dyDescent="0.2">
      <c r="D1138" s="1"/>
    </row>
    <row r="1139" spans="4:4" x14ac:dyDescent="0.2">
      <c r="D1139" s="1"/>
    </row>
    <row r="1140" spans="4:4" x14ac:dyDescent="0.2">
      <c r="D1140" s="1"/>
    </row>
    <row r="1141" spans="4:4" x14ac:dyDescent="0.2">
      <c r="D1141" s="1"/>
    </row>
    <row r="1142" spans="4:4" x14ac:dyDescent="0.2">
      <c r="D1142" s="1"/>
    </row>
    <row r="1143" spans="4:4" x14ac:dyDescent="0.2">
      <c r="D1143" s="1"/>
    </row>
    <row r="1144" spans="4:4" x14ac:dyDescent="0.2">
      <c r="D1144" s="1"/>
    </row>
    <row r="1145" spans="4:4" x14ac:dyDescent="0.2">
      <c r="D1145" s="1"/>
    </row>
    <row r="1146" spans="4:4" x14ac:dyDescent="0.2">
      <c r="D1146" s="1"/>
    </row>
    <row r="1147" spans="4:4" x14ac:dyDescent="0.2">
      <c r="D1147" s="1"/>
    </row>
    <row r="1148" spans="4:4" x14ac:dyDescent="0.2">
      <c r="D1148" s="1"/>
    </row>
    <row r="1149" spans="4:4" x14ac:dyDescent="0.2">
      <c r="D1149" s="1"/>
    </row>
    <row r="1150" spans="4:4" x14ac:dyDescent="0.2">
      <c r="D1150" s="1"/>
    </row>
    <row r="1151" spans="4:4" x14ac:dyDescent="0.2">
      <c r="D1151" s="1"/>
    </row>
    <row r="1152" spans="4:4" x14ac:dyDescent="0.2">
      <c r="D1152" s="1"/>
    </row>
    <row r="1153" spans="4:4" x14ac:dyDescent="0.2">
      <c r="D1153" s="1"/>
    </row>
    <row r="1154" spans="4:4" x14ac:dyDescent="0.2">
      <c r="D1154" s="1"/>
    </row>
    <row r="1155" spans="4:4" x14ac:dyDescent="0.2">
      <c r="D1155" s="1"/>
    </row>
    <row r="1156" spans="4:4" x14ac:dyDescent="0.2">
      <c r="D1156" s="1"/>
    </row>
    <row r="1157" spans="4:4" x14ac:dyDescent="0.2">
      <c r="D1157" s="1"/>
    </row>
    <row r="1158" spans="4:4" x14ac:dyDescent="0.2">
      <c r="D1158" s="1"/>
    </row>
    <row r="1159" spans="4:4" x14ac:dyDescent="0.2">
      <c r="D1159" s="1"/>
    </row>
    <row r="1160" spans="4:4" x14ac:dyDescent="0.2">
      <c r="D1160" s="1"/>
    </row>
    <row r="1161" spans="4:4" x14ac:dyDescent="0.2">
      <c r="D1161" s="1"/>
    </row>
    <row r="1162" spans="4:4" x14ac:dyDescent="0.2">
      <c r="D1162" s="1"/>
    </row>
    <row r="1163" spans="4:4" x14ac:dyDescent="0.2">
      <c r="D1163" s="1"/>
    </row>
    <row r="1164" spans="4:4" x14ac:dyDescent="0.2">
      <c r="D1164" s="1"/>
    </row>
    <row r="1165" spans="4:4" x14ac:dyDescent="0.2">
      <c r="D1165" s="1"/>
    </row>
    <row r="1166" spans="4:4" x14ac:dyDescent="0.2">
      <c r="D1166" s="1"/>
    </row>
    <row r="1167" spans="4:4" x14ac:dyDescent="0.2">
      <c r="D1167" s="1"/>
    </row>
    <row r="1168" spans="4:4" x14ac:dyDescent="0.2">
      <c r="D1168" s="1"/>
    </row>
    <row r="1169" spans="4:4" x14ac:dyDescent="0.2">
      <c r="D1169" s="1"/>
    </row>
    <row r="1170" spans="4:4" x14ac:dyDescent="0.2">
      <c r="D1170" s="1"/>
    </row>
    <row r="1171" spans="4:4" x14ac:dyDescent="0.2">
      <c r="D1171" s="1"/>
    </row>
    <row r="1172" spans="4:4" x14ac:dyDescent="0.2">
      <c r="D1172" s="1"/>
    </row>
    <row r="1173" spans="4:4" x14ac:dyDescent="0.2">
      <c r="D1173" s="1"/>
    </row>
    <row r="1174" spans="4:4" x14ac:dyDescent="0.2">
      <c r="D1174" s="1"/>
    </row>
    <row r="1175" spans="4:4" x14ac:dyDescent="0.2">
      <c r="D1175" s="1"/>
    </row>
    <row r="1176" spans="4:4" x14ac:dyDescent="0.2">
      <c r="D1176" s="1"/>
    </row>
    <row r="1177" spans="4:4" x14ac:dyDescent="0.2">
      <c r="D1177" s="1"/>
    </row>
    <row r="1178" spans="4:4" x14ac:dyDescent="0.2">
      <c r="D1178" s="1"/>
    </row>
    <row r="1179" spans="4:4" x14ac:dyDescent="0.2">
      <c r="D1179" s="1"/>
    </row>
    <row r="1180" spans="4:4" x14ac:dyDescent="0.2">
      <c r="D1180" s="1"/>
    </row>
    <row r="1181" spans="4:4" x14ac:dyDescent="0.2">
      <c r="D1181" s="1"/>
    </row>
    <row r="1182" spans="4:4" x14ac:dyDescent="0.2">
      <c r="D1182" s="1"/>
    </row>
    <row r="1183" spans="4:4" x14ac:dyDescent="0.2">
      <c r="D1183" s="1"/>
    </row>
    <row r="1184" spans="4:4" x14ac:dyDescent="0.2">
      <c r="D1184" s="1"/>
    </row>
    <row r="1185" spans="4:4" x14ac:dyDescent="0.2">
      <c r="D1185" s="1"/>
    </row>
    <row r="1186" spans="4:4" x14ac:dyDescent="0.2">
      <c r="D1186" s="1"/>
    </row>
    <row r="1187" spans="4:4" x14ac:dyDescent="0.2">
      <c r="D1187" s="1"/>
    </row>
    <row r="1188" spans="4:4" x14ac:dyDescent="0.2">
      <c r="D1188" s="1"/>
    </row>
    <row r="1189" spans="4:4" x14ac:dyDescent="0.2">
      <c r="D1189" s="1"/>
    </row>
    <row r="1190" spans="4:4" x14ac:dyDescent="0.2">
      <c r="D1190" s="1"/>
    </row>
    <row r="1191" spans="4:4" x14ac:dyDescent="0.2">
      <c r="D1191" s="1"/>
    </row>
    <row r="1192" spans="4:4" x14ac:dyDescent="0.2">
      <c r="D1192" s="1"/>
    </row>
    <row r="1193" spans="4:4" x14ac:dyDescent="0.2">
      <c r="D1193" s="1"/>
    </row>
    <row r="1194" spans="4:4" x14ac:dyDescent="0.2">
      <c r="D1194" s="1"/>
    </row>
    <row r="1195" spans="4:4" x14ac:dyDescent="0.2">
      <c r="D1195" s="1"/>
    </row>
    <row r="1196" spans="4:4" x14ac:dyDescent="0.2">
      <c r="D1196" s="1"/>
    </row>
    <row r="1197" spans="4:4" x14ac:dyDescent="0.2">
      <c r="D1197" s="1"/>
    </row>
    <row r="1198" spans="4:4" x14ac:dyDescent="0.2">
      <c r="D1198" s="1"/>
    </row>
    <row r="1199" spans="4:4" x14ac:dyDescent="0.2">
      <c r="D1199" s="1"/>
    </row>
    <row r="1200" spans="4:4" x14ac:dyDescent="0.2">
      <c r="D1200" s="1"/>
    </row>
    <row r="1201" spans="4:4" x14ac:dyDescent="0.2">
      <c r="D1201" s="1"/>
    </row>
    <row r="1202" spans="4:4" x14ac:dyDescent="0.2">
      <c r="D1202" s="1"/>
    </row>
    <row r="1203" spans="4:4" x14ac:dyDescent="0.2">
      <c r="D1203" s="1"/>
    </row>
    <row r="1204" spans="4:4" x14ac:dyDescent="0.2">
      <c r="D1204" s="1"/>
    </row>
    <row r="1205" spans="4:4" x14ac:dyDescent="0.2">
      <c r="D1205" s="1"/>
    </row>
    <row r="1206" spans="4:4" x14ac:dyDescent="0.2">
      <c r="D1206" s="1"/>
    </row>
    <row r="1207" spans="4:4" x14ac:dyDescent="0.2">
      <c r="D1207" s="1"/>
    </row>
    <row r="1208" spans="4:4" x14ac:dyDescent="0.2">
      <c r="D1208" s="1"/>
    </row>
    <row r="1209" spans="4:4" x14ac:dyDescent="0.2">
      <c r="D1209" s="1"/>
    </row>
    <row r="1210" spans="4:4" x14ac:dyDescent="0.2">
      <c r="D1210" s="1"/>
    </row>
    <row r="1211" spans="4:4" x14ac:dyDescent="0.2">
      <c r="D1211" s="1"/>
    </row>
    <row r="1212" spans="4:4" x14ac:dyDescent="0.2">
      <c r="D1212" s="1"/>
    </row>
    <row r="1213" spans="4:4" x14ac:dyDescent="0.2">
      <c r="D1213" s="1"/>
    </row>
    <row r="1214" spans="4:4" x14ac:dyDescent="0.2">
      <c r="D1214" s="1"/>
    </row>
    <row r="1215" spans="4:4" x14ac:dyDescent="0.2">
      <c r="D1215" s="1"/>
    </row>
    <row r="1216" spans="4:4" x14ac:dyDescent="0.2">
      <c r="D1216" s="1"/>
    </row>
    <row r="1217" spans="4:4" x14ac:dyDescent="0.2">
      <c r="D1217" s="1"/>
    </row>
    <row r="1218" spans="4:4" x14ac:dyDescent="0.2">
      <c r="D1218" s="1"/>
    </row>
    <row r="1219" spans="4:4" x14ac:dyDescent="0.2">
      <c r="D1219" s="1"/>
    </row>
    <row r="1220" spans="4:4" x14ac:dyDescent="0.2">
      <c r="D1220" s="1"/>
    </row>
    <row r="1221" spans="4:4" x14ac:dyDescent="0.2">
      <c r="D1221" s="1"/>
    </row>
    <row r="1222" spans="4:4" x14ac:dyDescent="0.2">
      <c r="D1222" s="1"/>
    </row>
    <row r="1223" spans="4:4" x14ac:dyDescent="0.2">
      <c r="D1223" s="1"/>
    </row>
    <row r="1224" spans="4:4" x14ac:dyDescent="0.2">
      <c r="D1224" s="1"/>
    </row>
    <row r="1225" spans="4:4" x14ac:dyDescent="0.2">
      <c r="D1225" s="1"/>
    </row>
    <row r="1226" spans="4:4" x14ac:dyDescent="0.2">
      <c r="D1226" s="1"/>
    </row>
    <row r="1227" spans="4:4" x14ac:dyDescent="0.2">
      <c r="D1227" s="1"/>
    </row>
    <row r="1228" spans="4:4" x14ac:dyDescent="0.2">
      <c r="D1228" s="1"/>
    </row>
    <row r="1229" spans="4:4" x14ac:dyDescent="0.2">
      <c r="D1229" s="1"/>
    </row>
    <row r="1230" spans="4:4" x14ac:dyDescent="0.2">
      <c r="D1230" s="1"/>
    </row>
    <row r="1231" spans="4:4" x14ac:dyDescent="0.2">
      <c r="D1231" s="1"/>
    </row>
    <row r="1232" spans="4:4" x14ac:dyDescent="0.2">
      <c r="D1232" s="1"/>
    </row>
    <row r="1233" spans="4:4" x14ac:dyDescent="0.2">
      <c r="D1233" s="1"/>
    </row>
    <row r="1234" spans="4:4" x14ac:dyDescent="0.2">
      <c r="D1234" s="1"/>
    </row>
    <row r="1235" spans="4:4" x14ac:dyDescent="0.2">
      <c r="D1235" s="1"/>
    </row>
    <row r="1236" spans="4:4" x14ac:dyDescent="0.2">
      <c r="D1236" s="1"/>
    </row>
    <row r="1237" spans="4:4" x14ac:dyDescent="0.2">
      <c r="D1237" s="1"/>
    </row>
    <row r="1238" spans="4:4" x14ac:dyDescent="0.2">
      <c r="D1238" s="1"/>
    </row>
    <row r="1239" spans="4:4" x14ac:dyDescent="0.2">
      <c r="D1239" s="1"/>
    </row>
    <row r="1240" spans="4:4" x14ac:dyDescent="0.2">
      <c r="D1240" s="1"/>
    </row>
    <row r="1241" spans="4:4" x14ac:dyDescent="0.2">
      <c r="D1241" s="1"/>
    </row>
    <row r="1242" spans="4:4" x14ac:dyDescent="0.2">
      <c r="D1242" s="1"/>
    </row>
    <row r="1243" spans="4:4" x14ac:dyDescent="0.2">
      <c r="D1243" s="1"/>
    </row>
    <row r="1244" spans="4:4" x14ac:dyDescent="0.2">
      <c r="D1244" s="1"/>
    </row>
    <row r="1245" spans="4:4" x14ac:dyDescent="0.2">
      <c r="D1245" s="1"/>
    </row>
    <row r="1246" spans="4:4" x14ac:dyDescent="0.2">
      <c r="D1246" s="1"/>
    </row>
    <row r="1247" spans="4:4" x14ac:dyDescent="0.2">
      <c r="D1247" s="1"/>
    </row>
    <row r="1248" spans="4:4" x14ac:dyDescent="0.2">
      <c r="D1248" s="1"/>
    </row>
    <row r="1249" spans="4:4" x14ac:dyDescent="0.2">
      <c r="D1249" s="1"/>
    </row>
    <row r="1250" spans="4:4" x14ac:dyDescent="0.2">
      <c r="D1250" s="1"/>
    </row>
    <row r="1251" spans="4:4" x14ac:dyDescent="0.2">
      <c r="D1251" s="1"/>
    </row>
    <row r="1252" spans="4:4" x14ac:dyDescent="0.2">
      <c r="D1252" s="1"/>
    </row>
    <row r="1253" spans="4:4" x14ac:dyDescent="0.2">
      <c r="D1253" s="1"/>
    </row>
    <row r="1254" spans="4:4" x14ac:dyDescent="0.2">
      <c r="D1254" s="1"/>
    </row>
    <row r="1255" spans="4:4" x14ac:dyDescent="0.2">
      <c r="D1255" s="1"/>
    </row>
    <row r="1256" spans="4:4" x14ac:dyDescent="0.2">
      <c r="D1256" s="1"/>
    </row>
    <row r="1257" spans="4:4" x14ac:dyDescent="0.2">
      <c r="D1257" s="1"/>
    </row>
    <row r="1258" spans="4:4" x14ac:dyDescent="0.2">
      <c r="D1258" s="1"/>
    </row>
    <row r="1259" spans="4:4" x14ac:dyDescent="0.2">
      <c r="D1259" s="1"/>
    </row>
    <row r="1260" spans="4:4" x14ac:dyDescent="0.2">
      <c r="D1260" s="1"/>
    </row>
    <row r="1261" spans="4:4" x14ac:dyDescent="0.2">
      <c r="D1261" s="1"/>
    </row>
    <row r="1262" spans="4:4" x14ac:dyDescent="0.2">
      <c r="D1262" s="1"/>
    </row>
    <row r="1263" spans="4:4" x14ac:dyDescent="0.2">
      <c r="D1263" s="1"/>
    </row>
    <row r="1264" spans="4:4" x14ac:dyDescent="0.2">
      <c r="D1264" s="1"/>
    </row>
    <row r="1265" spans="4:4" x14ac:dyDescent="0.2">
      <c r="D1265" s="1"/>
    </row>
    <row r="1266" spans="4:4" x14ac:dyDescent="0.2">
      <c r="D1266" s="1"/>
    </row>
    <row r="1267" spans="4:4" x14ac:dyDescent="0.2">
      <c r="D1267" s="1"/>
    </row>
    <row r="1268" spans="4:4" x14ac:dyDescent="0.2">
      <c r="D1268" s="1"/>
    </row>
    <row r="1269" spans="4:4" x14ac:dyDescent="0.2">
      <c r="D1269" s="1"/>
    </row>
    <row r="1270" spans="4:4" x14ac:dyDescent="0.2">
      <c r="D1270" s="1"/>
    </row>
    <row r="1271" spans="4:4" x14ac:dyDescent="0.2">
      <c r="D1271" s="1"/>
    </row>
    <row r="1272" spans="4:4" x14ac:dyDescent="0.2">
      <c r="D1272" s="1"/>
    </row>
    <row r="1273" spans="4:4" x14ac:dyDescent="0.2">
      <c r="D1273" s="1"/>
    </row>
    <row r="1274" spans="4:4" x14ac:dyDescent="0.2">
      <c r="D1274" s="1"/>
    </row>
    <row r="1275" spans="4:4" x14ac:dyDescent="0.2">
      <c r="D1275" s="1"/>
    </row>
    <row r="1276" spans="4:4" x14ac:dyDescent="0.2">
      <c r="D1276" s="1"/>
    </row>
    <row r="1277" spans="4:4" x14ac:dyDescent="0.2">
      <c r="D1277" s="1"/>
    </row>
    <row r="1278" spans="4:4" x14ac:dyDescent="0.2">
      <c r="D1278" s="1"/>
    </row>
    <row r="1279" spans="4:4" x14ac:dyDescent="0.2">
      <c r="D1279" s="1"/>
    </row>
    <row r="1280" spans="4:4" x14ac:dyDescent="0.2">
      <c r="D1280" s="1"/>
    </row>
    <row r="1281" spans="4:4" x14ac:dyDescent="0.2">
      <c r="D1281" s="1"/>
    </row>
    <row r="1282" spans="4:4" x14ac:dyDescent="0.2">
      <c r="D1282" s="1"/>
    </row>
    <row r="1283" spans="4:4" x14ac:dyDescent="0.2">
      <c r="D1283" s="1"/>
    </row>
    <row r="1284" spans="4:4" x14ac:dyDescent="0.2">
      <c r="D1284" s="1"/>
    </row>
    <row r="1285" spans="4:4" x14ac:dyDescent="0.2">
      <c r="D1285" s="1"/>
    </row>
    <row r="1286" spans="4:4" x14ac:dyDescent="0.2">
      <c r="D1286" s="1"/>
    </row>
    <row r="1287" spans="4:4" x14ac:dyDescent="0.2">
      <c r="D1287" s="1"/>
    </row>
    <row r="1288" spans="4:4" x14ac:dyDescent="0.2">
      <c r="D1288" s="1"/>
    </row>
    <row r="1289" spans="4:4" x14ac:dyDescent="0.2">
      <c r="D1289" s="1"/>
    </row>
    <row r="1290" spans="4:4" x14ac:dyDescent="0.2">
      <c r="D1290" s="1"/>
    </row>
    <row r="1291" spans="4:4" x14ac:dyDescent="0.2">
      <c r="D1291" s="1"/>
    </row>
    <row r="1292" spans="4:4" x14ac:dyDescent="0.2">
      <c r="D1292" s="1"/>
    </row>
    <row r="1293" spans="4:4" x14ac:dyDescent="0.2">
      <c r="D1293" s="1"/>
    </row>
    <row r="1294" spans="4:4" x14ac:dyDescent="0.2">
      <c r="D1294" s="1"/>
    </row>
    <row r="1295" spans="4:4" x14ac:dyDescent="0.2">
      <c r="D1295" s="1"/>
    </row>
    <row r="1296" spans="4:4" x14ac:dyDescent="0.2">
      <c r="D1296" s="1"/>
    </row>
    <row r="1297" spans="4:4" x14ac:dyDescent="0.2">
      <c r="D1297" s="1"/>
    </row>
    <row r="1298" spans="4:4" x14ac:dyDescent="0.2">
      <c r="D1298" s="1"/>
    </row>
    <row r="1299" spans="4:4" x14ac:dyDescent="0.2">
      <c r="D1299" s="1"/>
    </row>
    <row r="1300" spans="4:4" x14ac:dyDescent="0.2">
      <c r="D1300" s="1"/>
    </row>
    <row r="1301" spans="4:4" x14ac:dyDescent="0.2">
      <c r="D1301" s="1"/>
    </row>
    <row r="1302" spans="4:4" x14ac:dyDescent="0.2">
      <c r="D1302" s="1"/>
    </row>
    <row r="1303" spans="4:4" x14ac:dyDescent="0.2">
      <c r="D1303" s="1"/>
    </row>
    <row r="1304" spans="4:4" x14ac:dyDescent="0.2">
      <c r="D1304" s="1"/>
    </row>
    <row r="1305" spans="4:4" x14ac:dyDescent="0.2">
      <c r="D1305" s="1"/>
    </row>
    <row r="1306" spans="4:4" x14ac:dyDescent="0.2">
      <c r="D1306" s="1"/>
    </row>
    <row r="1307" spans="4:4" x14ac:dyDescent="0.2">
      <c r="D1307" s="1"/>
    </row>
    <row r="1308" spans="4:4" x14ac:dyDescent="0.2">
      <c r="D1308" s="1"/>
    </row>
    <row r="1309" spans="4:4" x14ac:dyDescent="0.2">
      <c r="D1309" s="1"/>
    </row>
    <row r="1310" spans="4:4" x14ac:dyDescent="0.2">
      <c r="D1310" s="1"/>
    </row>
    <row r="1311" spans="4:4" x14ac:dyDescent="0.2">
      <c r="D1311" s="1"/>
    </row>
    <row r="1312" spans="4:4" x14ac:dyDescent="0.2">
      <c r="D1312" s="1"/>
    </row>
    <row r="1313" spans="4:4" x14ac:dyDescent="0.2">
      <c r="D1313" s="1"/>
    </row>
    <row r="1314" spans="4:4" x14ac:dyDescent="0.2">
      <c r="D1314" s="1"/>
    </row>
    <row r="1315" spans="4:4" x14ac:dyDescent="0.2">
      <c r="D1315" s="1"/>
    </row>
    <row r="1316" spans="4:4" x14ac:dyDescent="0.2">
      <c r="D1316" s="1"/>
    </row>
    <row r="1317" spans="4:4" x14ac:dyDescent="0.2">
      <c r="D1317" s="1"/>
    </row>
    <row r="1318" spans="4:4" x14ac:dyDescent="0.2">
      <c r="D1318" s="1"/>
    </row>
    <row r="1319" spans="4:4" x14ac:dyDescent="0.2">
      <c r="D1319" s="1"/>
    </row>
    <row r="1320" spans="4:4" x14ac:dyDescent="0.2">
      <c r="D1320" s="1"/>
    </row>
    <row r="1321" spans="4:4" x14ac:dyDescent="0.2">
      <c r="D1321" s="1"/>
    </row>
    <row r="1322" spans="4:4" x14ac:dyDescent="0.2">
      <c r="D1322" s="1"/>
    </row>
    <row r="1323" spans="4:4" x14ac:dyDescent="0.2">
      <c r="D1323" s="1"/>
    </row>
    <row r="1324" spans="4:4" x14ac:dyDescent="0.2">
      <c r="D1324" s="1"/>
    </row>
    <row r="1325" spans="4:4" x14ac:dyDescent="0.2">
      <c r="D1325" s="1"/>
    </row>
    <row r="1326" spans="4:4" x14ac:dyDescent="0.2">
      <c r="D1326" s="1"/>
    </row>
    <row r="1327" spans="4:4" x14ac:dyDescent="0.2">
      <c r="D1327" s="1"/>
    </row>
    <row r="1328" spans="4:4" x14ac:dyDescent="0.2">
      <c r="D1328" s="1"/>
    </row>
    <row r="1329" spans="4:4" x14ac:dyDescent="0.2">
      <c r="D1329" s="1"/>
    </row>
    <row r="1330" spans="4:4" x14ac:dyDescent="0.2">
      <c r="D1330" s="1"/>
    </row>
    <row r="1331" spans="4:4" x14ac:dyDescent="0.2">
      <c r="D1331" s="1"/>
    </row>
    <row r="1332" spans="4:4" x14ac:dyDescent="0.2">
      <c r="D1332" s="1"/>
    </row>
    <row r="1333" spans="4:4" x14ac:dyDescent="0.2">
      <c r="D1333" s="1"/>
    </row>
    <row r="1334" spans="4:4" x14ac:dyDescent="0.2">
      <c r="D1334" s="1"/>
    </row>
    <row r="1335" spans="4:4" x14ac:dyDescent="0.2">
      <c r="D1335" s="1"/>
    </row>
    <row r="1336" spans="4:4" x14ac:dyDescent="0.2">
      <c r="D1336" s="1"/>
    </row>
    <row r="1337" spans="4:4" x14ac:dyDescent="0.2">
      <c r="D1337" s="1"/>
    </row>
    <row r="1338" spans="4:4" x14ac:dyDescent="0.2">
      <c r="D1338" s="1"/>
    </row>
    <row r="1339" spans="4:4" x14ac:dyDescent="0.2">
      <c r="D1339" s="1"/>
    </row>
    <row r="1340" spans="4:4" x14ac:dyDescent="0.2">
      <c r="D1340" s="1"/>
    </row>
    <row r="1341" spans="4:4" x14ac:dyDescent="0.2">
      <c r="D1341" s="1"/>
    </row>
    <row r="1342" spans="4:4" x14ac:dyDescent="0.2">
      <c r="D1342" s="1"/>
    </row>
    <row r="1343" spans="4:4" x14ac:dyDescent="0.2">
      <c r="D1343" s="1"/>
    </row>
    <row r="1344" spans="4:4" x14ac:dyDescent="0.2">
      <c r="D1344" s="1"/>
    </row>
    <row r="1345" spans="4:4" x14ac:dyDescent="0.2">
      <c r="D1345" s="1"/>
    </row>
    <row r="1346" spans="4:4" x14ac:dyDescent="0.2">
      <c r="D1346" s="1"/>
    </row>
    <row r="1347" spans="4:4" x14ac:dyDescent="0.2">
      <c r="D1347" s="1"/>
    </row>
    <row r="1348" spans="4:4" x14ac:dyDescent="0.2">
      <c r="D1348" s="1"/>
    </row>
    <row r="1349" spans="4:4" x14ac:dyDescent="0.2">
      <c r="D1349" s="1"/>
    </row>
    <row r="1350" spans="4:4" x14ac:dyDescent="0.2">
      <c r="D1350" s="1"/>
    </row>
    <row r="1351" spans="4:4" x14ac:dyDescent="0.2">
      <c r="D1351" s="1"/>
    </row>
    <row r="1352" spans="4:4" x14ac:dyDescent="0.2">
      <c r="D1352" s="1"/>
    </row>
    <row r="1353" spans="4:4" x14ac:dyDescent="0.2">
      <c r="D1353" s="1"/>
    </row>
    <row r="1354" spans="4:4" x14ac:dyDescent="0.2">
      <c r="D1354" s="1"/>
    </row>
    <row r="1355" spans="4:4" x14ac:dyDescent="0.2">
      <c r="D1355" s="1"/>
    </row>
    <row r="1356" spans="4:4" x14ac:dyDescent="0.2">
      <c r="D1356" s="1"/>
    </row>
    <row r="1357" spans="4:4" x14ac:dyDescent="0.2">
      <c r="D1357" s="1"/>
    </row>
    <row r="1358" spans="4:4" x14ac:dyDescent="0.2">
      <c r="D1358" s="1"/>
    </row>
    <row r="1359" spans="4:4" x14ac:dyDescent="0.2">
      <c r="D1359" s="1"/>
    </row>
    <row r="1360" spans="4:4" x14ac:dyDescent="0.2">
      <c r="D1360" s="1"/>
    </row>
    <row r="1361" spans="4:4" x14ac:dyDescent="0.2">
      <c r="D1361" s="1"/>
    </row>
    <row r="1362" spans="4:4" x14ac:dyDescent="0.2">
      <c r="D1362" s="1"/>
    </row>
    <row r="1363" spans="4:4" x14ac:dyDescent="0.2">
      <c r="D1363" s="1"/>
    </row>
    <row r="1364" spans="4:4" x14ac:dyDescent="0.2">
      <c r="D1364" s="1"/>
    </row>
    <row r="1365" spans="4:4" x14ac:dyDescent="0.2">
      <c r="D1365" s="1"/>
    </row>
    <row r="1366" spans="4:4" x14ac:dyDescent="0.2">
      <c r="D1366" s="1"/>
    </row>
    <row r="1367" spans="4:4" x14ac:dyDescent="0.2">
      <c r="D1367" s="1"/>
    </row>
    <row r="1368" spans="4:4" x14ac:dyDescent="0.2">
      <c r="D1368" s="1"/>
    </row>
    <row r="1369" spans="4:4" x14ac:dyDescent="0.2">
      <c r="D1369" s="1"/>
    </row>
    <row r="1370" spans="4:4" x14ac:dyDescent="0.2">
      <c r="D1370" s="1"/>
    </row>
    <row r="1371" spans="4:4" x14ac:dyDescent="0.2">
      <c r="D1371" s="1"/>
    </row>
    <row r="1372" spans="4:4" x14ac:dyDescent="0.2">
      <c r="D1372" s="1"/>
    </row>
    <row r="1373" spans="4:4" x14ac:dyDescent="0.2">
      <c r="D1373" s="1"/>
    </row>
    <row r="1374" spans="4:4" x14ac:dyDescent="0.2">
      <c r="D1374" s="1"/>
    </row>
    <row r="1375" spans="4:4" x14ac:dyDescent="0.2">
      <c r="D1375" s="1"/>
    </row>
    <row r="1376" spans="4:4" x14ac:dyDescent="0.2">
      <c r="D1376" s="1"/>
    </row>
    <row r="1377" spans="4:4" x14ac:dyDescent="0.2">
      <c r="D1377" s="1"/>
    </row>
    <row r="1378" spans="4:4" x14ac:dyDescent="0.2">
      <c r="D1378" s="1"/>
    </row>
    <row r="1379" spans="4:4" x14ac:dyDescent="0.2">
      <c r="D1379" s="1"/>
    </row>
    <row r="1380" spans="4:4" x14ac:dyDescent="0.2">
      <c r="D1380" s="1"/>
    </row>
    <row r="1381" spans="4:4" x14ac:dyDescent="0.2">
      <c r="D1381" s="1"/>
    </row>
    <row r="1382" spans="4:4" x14ac:dyDescent="0.2">
      <c r="D1382" s="1"/>
    </row>
    <row r="1383" spans="4:4" x14ac:dyDescent="0.2">
      <c r="D1383" s="1"/>
    </row>
    <row r="1384" spans="4:4" x14ac:dyDescent="0.2">
      <c r="D1384" s="1"/>
    </row>
    <row r="1385" spans="4:4" x14ac:dyDescent="0.2">
      <c r="D1385" s="1"/>
    </row>
    <row r="1386" spans="4:4" x14ac:dyDescent="0.2">
      <c r="D1386" s="1"/>
    </row>
    <row r="1387" spans="4:4" x14ac:dyDescent="0.2">
      <c r="D1387" s="1"/>
    </row>
    <row r="1388" spans="4:4" x14ac:dyDescent="0.2">
      <c r="D1388" s="1"/>
    </row>
    <row r="1389" spans="4:4" x14ac:dyDescent="0.2">
      <c r="D1389" s="1"/>
    </row>
    <row r="1390" spans="4:4" x14ac:dyDescent="0.2">
      <c r="D1390" s="1"/>
    </row>
    <row r="1391" spans="4:4" x14ac:dyDescent="0.2">
      <c r="D1391" s="1"/>
    </row>
    <row r="1392" spans="4:4" x14ac:dyDescent="0.2">
      <c r="D1392" s="1"/>
    </row>
    <row r="1393" spans="4:4" x14ac:dyDescent="0.2">
      <c r="D1393" s="1"/>
    </row>
    <row r="1394" spans="4:4" x14ac:dyDescent="0.2">
      <c r="D1394" s="1"/>
    </row>
    <row r="1395" spans="4:4" x14ac:dyDescent="0.2">
      <c r="D1395" s="1"/>
    </row>
    <row r="1396" spans="4:4" x14ac:dyDescent="0.2">
      <c r="D1396" s="1"/>
    </row>
    <row r="1397" spans="4:4" x14ac:dyDescent="0.2">
      <c r="D1397" s="1"/>
    </row>
    <row r="1398" spans="4:4" x14ac:dyDescent="0.2">
      <c r="D1398" s="1"/>
    </row>
    <row r="1399" spans="4:4" x14ac:dyDescent="0.2">
      <c r="D1399" s="1"/>
    </row>
    <row r="1400" spans="4:4" x14ac:dyDescent="0.2">
      <c r="D1400" s="1"/>
    </row>
    <row r="1401" spans="4:4" x14ac:dyDescent="0.2">
      <c r="D1401" s="1"/>
    </row>
    <row r="1402" spans="4:4" x14ac:dyDescent="0.2">
      <c r="D1402" s="1"/>
    </row>
    <row r="1403" spans="4:4" x14ac:dyDescent="0.2">
      <c r="D1403" s="1"/>
    </row>
    <row r="1404" spans="4:4" x14ac:dyDescent="0.2">
      <c r="D1404" s="1"/>
    </row>
    <row r="1405" spans="4:4" x14ac:dyDescent="0.2">
      <c r="D1405" s="1"/>
    </row>
    <row r="1406" spans="4:4" x14ac:dyDescent="0.2">
      <c r="D1406" s="1"/>
    </row>
    <row r="1407" spans="4:4" x14ac:dyDescent="0.2">
      <c r="D1407" s="1"/>
    </row>
    <row r="1408" spans="4:4" x14ac:dyDescent="0.2">
      <c r="D1408" s="1"/>
    </row>
    <row r="1409" spans="4:4" x14ac:dyDescent="0.2">
      <c r="D1409" s="1"/>
    </row>
    <row r="1410" spans="4:4" x14ac:dyDescent="0.2">
      <c r="D1410" s="1"/>
    </row>
    <row r="1411" spans="4:4" x14ac:dyDescent="0.2">
      <c r="D1411" s="1"/>
    </row>
    <row r="1412" spans="4:4" x14ac:dyDescent="0.2">
      <c r="D1412" s="1"/>
    </row>
    <row r="1413" spans="4:4" x14ac:dyDescent="0.2">
      <c r="D1413" s="1"/>
    </row>
    <row r="1414" spans="4:4" x14ac:dyDescent="0.2">
      <c r="D1414" s="1"/>
    </row>
    <row r="1415" spans="4:4" x14ac:dyDescent="0.2">
      <c r="D1415" s="1"/>
    </row>
    <row r="1416" spans="4:4" x14ac:dyDescent="0.2">
      <c r="D1416" s="1"/>
    </row>
    <row r="1417" spans="4:4" x14ac:dyDescent="0.2">
      <c r="D1417" s="1"/>
    </row>
    <row r="1418" spans="4:4" x14ac:dyDescent="0.2">
      <c r="D1418" s="1"/>
    </row>
    <row r="1419" spans="4:4" x14ac:dyDescent="0.2">
      <c r="D1419" s="1"/>
    </row>
    <row r="1420" spans="4:4" x14ac:dyDescent="0.2">
      <c r="D1420" s="1"/>
    </row>
    <row r="1421" spans="4:4" x14ac:dyDescent="0.2">
      <c r="D1421" s="1"/>
    </row>
    <row r="1422" spans="4:4" x14ac:dyDescent="0.2">
      <c r="D1422" s="1"/>
    </row>
    <row r="1423" spans="4:4" x14ac:dyDescent="0.2">
      <c r="D1423" s="1"/>
    </row>
    <row r="1424" spans="4:4" x14ac:dyDescent="0.2">
      <c r="D1424" s="1"/>
    </row>
    <row r="1425" spans="4:4" x14ac:dyDescent="0.2">
      <c r="D1425" s="1"/>
    </row>
    <row r="1426" spans="4:4" x14ac:dyDescent="0.2">
      <c r="D1426" s="1"/>
    </row>
    <row r="1427" spans="4:4" x14ac:dyDescent="0.2">
      <c r="D1427" s="1"/>
    </row>
    <row r="1428" spans="4:4" x14ac:dyDescent="0.2">
      <c r="D1428" s="1"/>
    </row>
    <row r="1429" spans="4:4" x14ac:dyDescent="0.2">
      <c r="D1429" s="1"/>
    </row>
    <row r="1430" spans="4:4" x14ac:dyDescent="0.2">
      <c r="D1430" s="1"/>
    </row>
    <row r="1431" spans="4:4" x14ac:dyDescent="0.2">
      <c r="D1431" s="1"/>
    </row>
    <row r="1432" spans="4:4" x14ac:dyDescent="0.2">
      <c r="D1432" s="1"/>
    </row>
    <row r="1433" spans="4:4" x14ac:dyDescent="0.2">
      <c r="D1433" s="1"/>
    </row>
    <row r="1434" spans="4:4" x14ac:dyDescent="0.2">
      <c r="D1434" s="1"/>
    </row>
    <row r="1435" spans="4:4" x14ac:dyDescent="0.2">
      <c r="D1435" s="1"/>
    </row>
    <row r="1436" spans="4:4" x14ac:dyDescent="0.2">
      <c r="D1436" s="1"/>
    </row>
    <row r="1437" spans="4:4" x14ac:dyDescent="0.2">
      <c r="D1437" s="1"/>
    </row>
    <row r="1438" spans="4:4" x14ac:dyDescent="0.2">
      <c r="D1438" s="1"/>
    </row>
    <row r="1439" spans="4:4" x14ac:dyDescent="0.2">
      <c r="D1439" s="1"/>
    </row>
    <row r="1440" spans="4:4" x14ac:dyDescent="0.2">
      <c r="D1440" s="1"/>
    </row>
    <row r="1441" spans="4:4" x14ac:dyDescent="0.2">
      <c r="D1441" s="1"/>
    </row>
    <row r="1442" spans="4:4" x14ac:dyDescent="0.2">
      <c r="D1442" s="1"/>
    </row>
    <row r="1443" spans="4:4" x14ac:dyDescent="0.2">
      <c r="D1443" s="1"/>
    </row>
    <row r="1444" spans="4:4" x14ac:dyDescent="0.2">
      <c r="D1444" s="1"/>
    </row>
    <row r="1445" spans="4:4" x14ac:dyDescent="0.2">
      <c r="D1445" s="1"/>
    </row>
    <row r="1446" spans="4:4" x14ac:dyDescent="0.2">
      <c r="D1446" s="1"/>
    </row>
    <row r="1447" spans="4:4" x14ac:dyDescent="0.2">
      <c r="D1447" s="1"/>
    </row>
    <row r="1448" spans="4:4" x14ac:dyDescent="0.2">
      <c r="D1448" s="1"/>
    </row>
    <row r="1449" spans="4:4" x14ac:dyDescent="0.2">
      <c r="D1449" s="1"/>
    </row>
    <row r="1450" spans="4:4" x14ac:dyDescent="0.2">
      <c r="D1450" s="1"/>
    </row>
    <row r="1451" spans="4:4" x14ac:dyDescent="0.2">
      <c r="D1451" s="1"/>
    </row>
    <row r="1452" spans="4:4" x14ac:dyDescent="0.2">
      <c r="D1452" s="1"/>
    </row>
    <row r="1453" spans="4:4" x14ac:dyDescent="0.2">
      <c r="D1453" s="1"/>
    </row>
    <row r="1454" spans="4:4" x14ac:dyDescent="0.2">
      <c r="D1454" s="1"/>
    </row>
    <row r="1455" spans="4:4" x14ac:dyDescent="0.2">
      <c r="D1455" s="1"/>
    </row>
    <row r="1456" spans="4:4" x14ac:dyDescent="0.2">
      <c r="D1456" s="1"/>
    </row>
    <row r="1457" spans="4:4" x14ac:dyDescent="0.2">
      <c r="D1457" s="1"/>
    </row>
    <row r="1458" spans="4:4" x14ac:dyDescent="0.2">
      <c r="D1458" s="1"/>
    </row>
    <row r="1459" spans="4:4" x14ac:dyDescent="0.2">
      <c r="D1459" s="1"/>
    </row>
    <row r="1460" spans="4:4" x14ac:dyDescent="0.2">
      <c r="D1460" s="1"/>
    </row>
    <row r="1461" spans="4:4" x14ac:dyDescent="0.2">
      <c r="D1461" s="1"/>
    </row>
    <row r="1462" spans="4:4" x14ac:dyDescent="0.2">
      <c r="D1462" s="1"/>
    </row>
    <row r="1463" spans="4:4" x14ac:dyDescent="0.2">
      <c r="D1463" s="1"/>
    </row>
    <row r="1464" spans="4:4" x14ac:dyDescent="0.2">
      <c r="D1464" s="1"/>
    </row>
    <row r="1465" spans="4:4" x14ac:dyDescent="0.2">
      <c r="D1465" s="1"/>
    </row>
    <row r="1466" spans="4:4" x14ac:dyDescent="0.2">
      <c r="D1466" s="1"/>
    </row>
    <row r="1467" spans="4:4" x14ac:dyDescent="0.2">
      <c r="D1467" s="1"/>
    </row>
    <row r="1468" spans="4:4" x14ac:dyDescent="0.2">
      <c r="D1468" s="1"/>
    </row>
    <row r="1469" spans="4:4" x14ac:dyDescent="0.2">
      <c r="D1469" s="1"/>
    </row>
    <row r="1470" spans="4:4" x14ac:dyDescent="0.2">
      <c r="D1470" s="1"/>
    </row>
    <row r="1471" spans="4:4" x14ac:dyDescent="0.2">
      <c r="D1471" s="1"/>
    </row>
    <row r="1472" spans="4:4" x14ac:dyDescent="0.2">
      <c r="D1472" s="1"/>
    </row>
    <row r="1473" spans="4:4" x14ac:dyDescent="0.2">
      <c r="D1473" s="1"/>
    </row>
    <row r="1474" spans="4:4" x14ac:dyDescent="0.2">
      <c r="D1474" s="1"/>
    </row>
    <row r="1475" spans="4:4" x14ac:dyDescent="0.2">
      <c r="D1475" s="1"/>
    </row>
    <row r="1476" spans="4:4" x14ac:dyDescent="0.2">
      <c r="D1476" s="1"/>
    </row>
    <row r="1477" spans="4:4" x14ac:dyDescent="0.2">
      <c r="D1477" s="1"/>
    </row>
    <row r="1478" spans="4:4" x14ac:dyDescent="0.2">
      <c r="D1478" s="1"/>
    </row>
    <row r="1479" spans="4:4" x14ac:dyDescent="0.2">
      <c r="D1479" s="1"/>
    </row>
    <row r="1480" spans="4:4" x14ac:dyDescent="0.2">
      <c r="D1480" s="1"/>
    </row>
    <row r="1481" spans="4:4" x14ac:dyDescent="0.2">
      <c r="D1481" s="1"/>
    </row>
    <row r="1482" spans="4:4" x14ac:dyDescent="0.2">
      <c r="D1482" s="1"/>
    </row>
    <row r="1483" spans="4:4" x14ac:dyDescent="0.2">
      <c r="D1483" s="1"/>
    </row>
    <row r="1484" spans="4:4" x14ac:dyDescent="0.2">
      <c r="D1484" s="1"/>
    </row>
    <row r="1485" spans="4:4" x14ac:dyDescent="0.2">
      <c r="D1485" s="1"/>
    </row>
    <row r="1486" spans="4:4" x14ac:dyDescent="0.2">
      <c r="D1486" s="1"/>
    </row>
    <row r="1487" spans="4:4" x14ac:dyDescent="0.2">
      <c r="D1487" s="1"/>
    </row>
    <row r="1488" spans="4:4" x14ac:dyDescent="0.2">
      <c r="D1488" s="1"/>
    </row>
    <row r="1489" spans="4:4" x14ac:dyDescent="0.2">
      <c r="D1489" s="1"/>
    </row>
    <row r="1490" spans="4:4" x14ac:dyDescent="0.2">
      <c r="D1490" s="1"/>
    </row>
    <row r="1491" spans="4:4" x14ac:dyDescent="0.2">
      <c r="D1491" s="1"/>
    </row>
    <row r="1492" spans="4:4" x14ac:dyDescent="0.2">
      <c r="D1492" s="1"/>
    </row>
    <row r="1493" spans="4:4" x14ac:dyDescent="0.2">
      <c r="D1493" s="1"/>
    </row>
    <row r="1494" spans="4:4" x14ac:dyDescent="0.2">
      <c r="D1494" s="1"/>
    </row>
    <row r="1495" spans="4:4" x14ac:dyDescent="0.2">
      <c r="D1495" s="1"/>
    </row>
    <row r="1496" spans="4:4" x14ac:dyDescent="0.2">
      <c r="D1496" s="1"/>
    </row>
    <row r="1497" spans="4:4" x14ac:dyDescent="0.2">
      <c r="D1497" s="1"/>
    </row>
    <row r="1498" spans="4:4" x14ac:dyDescent="0.2">
      <c r="D1498" s="1"/>
    </row>
    <row r="1499" spans="4:4" x14ac:dyDescent="0.2">
      <c r="D1499" s="1"/>
    </row>
    <row r="1500" spans="4:4" x14ac:dyDescent="0.2">
      <c r="D1500" s="1"/>
    </row>
    <row r="1501" spans="4:4" x14ac:dyDescent="0.2">
      <c r="D1501" s="1"/>
    </row>
    <row r="1502" spans="4:4" x14ac:dyDescent="0.2">
      <c r="D1502" s="1"/>
    </row>
    <row r="1503" spans="4:4" x14ac:dyDescent="0.2">
      <c r="D1503" s="1"/>
    </row>
    <row r="1504" spans="4:4" x14ac:dyDescent="0.2">
      <c r="D1504" s="1"/>
    </row>
    <row r="1505" spans="4:4" x14ac:dyDescent="0.2">
      <c r="D1505" s="1"/>
    </row>
    <row r="1506" spans="4:4" x14ac:dyDescent="0.2">
      <c r="D1506" s="1"/>
    </row>
    <row r="1507" spans="4:4" x14ac:dyDescent="0.2">
      <c r="D1507" s="1"/>
    </row>
    <row r="1508" spans="4:4" x14ac:dyDescent="0.2">
      <c r="D1508" s="1"/>
    </row>
    <row r="1509" spans="4:4" x14ac:dyDescent="0.2">
      <c r="D1509" s="1"/>
    </row>
    <row r="1510" spans="4:4" x14ac:dyDescent="0.2">
      <c r="D1510" s="1"/>
    </row>
    <row r="1511" spans="4:4" x14ac:dyDescent="0.2">
      <c r="D1511" s="1"/>
    </row>
    <row r="1512" spans="4:4" x14ac:dyDescent="0.2">
      <c r="D1512" s="1"/>
    </row>
    <row r="1513" spans="4:4" x14ac:dyDescent="0.2">
      <c r="D1513" s="1"/>
    </row>
    <row r="1514" spans="4:4" x14ac:dyDescent="0.2">
      <c r="D1514" s="1"/>
    </row>
    <row r="1515" spans="4:4" x14ac:dyDescent="0.2">
      <c r="D1515" s="1"/>
    </row>
    <row r="1516" spans="4:4" x14ac:dyDescent="0.2">
      <c r="D1516" s="1"/>
    </row>
    <row r="1517" spans="4:4" x14ac:dyDescent="0.2">
      <c r="D1517" s="1"/>
    </row>
    <row r="1518" spans="4:4" x14ac:dyDescent="0.2">
      <c r="D1518" s="1"/>
    </row>
    <row r="1519" spans="4:4" x14ac:dyDescent="0.2">
      <c r="D1519" s="1"/>
    </row>
    <row r="1520" spans="4:4" x14ac:dyDescent="0.2">
      <c r="D1520" s="1"/>
    </row>
    <row r="1521" spans="4:4" x14ac:dyDescent="0.2">
      <c r="D1521" s="1"/>
    </row>
    <row r="1522" spans="4:4" x14ac:dyDescent="0.2">
      <c r="D1522" s="1"/>
    </row>
    <row r="1523" spans="4:4" x14ac:dyDescent="0.2">
      <c r="D1523" s="1"/>
    </row>
    <row r="1524" spans="4:4" x14ac:dyDescent="0.2">
      <c r="D1524" s="1"/>
    </row>
    <row r="1525" spans="4:4" x14ac:dyDescent="0.2">
      <c r="D1525" s="1"/>
    </row>
    <row r="1526" spans="4:4" x14ac:dyDescent="0.2">
      <c r="D1526" s="1"/>
    </row>
    <row r="1527" spans="4:4" x14ac:dyDescent="0.2">
      <c r="D1527" s="1"/>
    </row>
    <row r="1528" spans="4:4" x14ac:dyDescent="0.2">
      <c r="D1528" s="1"/>
    </row>
    <row r="1529" spans="4:4" x14ac:dyDescent="0.2">
      <c r="D1529" s="1"/>
    </row>
    <row r="1530" spans="4:4" x14ac:dyDescent="0.2">
      <c r="D1530" s="1"/>
    </row>
    <row r="1531" spans="4:4" x14ac:dyDescent="0.2">
      <c r="D1531" s="1"/>
    </row>
    <row r="1532" spans="4:4" x14ac:dyDescent="0.2">
      <c r="D1532" s="1"/>
    </row>
    <row r="1533" spans="4:4" x14ac:dyDescent="0.2">
      <c r="D1533" s="1"/>
    </row>
    <row r="1534" spans="4:4" x14ac:dyDescent="0.2">
      <c r="D1534" s="1"/>
    </row>
    <row r="1535" spans="4:4" x14ac:dyDescent="0.2">
      <c r="D1535" s="1"/>
    </row>
    <row r="1536" spans="4:4" x14ac:dyDescent="0.2">
      <c r="D1536" s="1"/>
    </row>
    <row r="1537" spans="4:4" x14ac:dyDescent="0.2">
      <c r="D1537" s="1"/>
    </row>
    <row r="1538" spans="4:4" x14ac:dyDescent="0.2">
      <c r="D1538" s="1"/>
    </row>
    <row r="1539" spans="4:4" x14ac:dyDescent="0.2">
      <c r="D1539" s="1"/>
    </row>
    <row r="1540" spans="4:4" x14ac:dyDescent="0.2">
      <c r="D1540" s="1"/>
    </row>
    <row r="1541" spans="4:4" x14ac:dyDescent="0.2">
      <c r="D1541" s="1"/>
    </row>
    <row r="1542" spans="4:4" x14ac:dyDescent="0.2">
      <c r="D1542" s="1"/>
    </row>
    <row r="1543" spans="4:4" x14ac:dyDescent="0.2">
      <c r="D1543" s="1"/>
    </row>
    <row r="1544" spans="4:4" x14ac:dyDescent="0.2">
      <c r="D1544" s="1"/>
    </row>
    <row r="1545" spans="4:4" x14ac:dyDescent="0.2">
      <c r="D1545" s="1"/>
    </row>
    <row r="1546" spans="4:4" x14ac:dyDescent="0.2">
      <c r="D1546" s="1"/>
    </row>
    <row r="1547" spans="4:4" x14ac:dyDescent="0.2">
      <c r="D1547" s="1"/>
    </row>
    <row r="1548" spans="4:4" x14ac:dyDescent="0.2">
      <c r="D1548" s="1"/>
    </row>
    <row r="1549" spans="4:4" x14ac:dyDescent="0.2">
      <c r="D1549" s="1"/>
    </row>
    <row r="1550" spans="4:4" x14ac:dyDescent="0.2">
      <c r="D1550" s="1"/>
    </row>
    <row r="1551" spans="4:4" x14ac:dyDescent="0.2">
      <c r="D1551" s="1"/>
    </row>
    <row r="1552" spans="4:4" x14ac:dyDescent="0.2">
      <c r="D1552" s="1"/>
    </row>
    <row r="1553" spans="4:4" x14ac:dyDescent="0.2">
      <c r="D1553" s="1"/>
    </row>
    <row r="1554" spans="4:4" x14ac:dyDescent="0.2">
      <c r="D1554" s="1"/>
    </row>
    <row r="1555" spans="4:4" x14ac:dyDescent="0.2">
      <c r="D1555" s="1"/>
    </row>
    <row r="1556" spans="4:4" x14ac:dyDescent="0.2">
      <c r="D1556" s="1"/>
    </row>
    <row r="1557" spans="4:4" x14ac:dyDescent="0.2">
      <c r="D1557" s="1"/>
    </row>
    <row r="1558" spans="4:4" x14ac:dyDescent="0.2">
      <c r="D1558" s="1"/>
    </row>
    <row r="1559" spans="4:4" x14ac:dyDescent="0.2">
      <c r="D1559" s="1"/>
    </row>
    <row r="1560" spans="4:4" x14ac:dyDescent="0.2">
      <c r="D1560" s="1"/>
    </row>
    <row r="1561" spans="4:4" x14ac:dyDescent="0.2">
      <c r="D1561" s="1"/>
    </row>
    <row r="1562" spans="4:4" x14ac:dyDescent="0.2">
      <c r="D1562" s="1"/>
    </row>
    <row r="1563" spans="4:4" x14ac:dyDescent="0.2">
      <c r="D1563" s="1"/>
    </row>
    <row r="1564" spans="4:4" x14ac:dyDescent="0.2">
      <c r="D1564" s="1"/>
    </row>
    <row r="1565" spans="4:4" x14ac:dyDescent="0.2">
      <c r="D1565" s="1"/>
    </row>
    <row r="1566" spans="4:4" x14ac:dyDescent="0.2">
      <c r="D1566" s="1"/>
    </row>
    <row r="1567" spans="4:4" x14ac:dyDescent="0.2">
      <c r="D1567" s="1"/>
    </row>
    <row r="1568" spans="4:4" x14ac:dyDescent="0.2">
      <c r="D1568" s="1"/>
    </row>
    <row r="1569" spans="4:4" x14ac:dyDescent="0.2">
      <c r="D1569" s="1"/>
    </row>
    <row r="1570" spans="4:4" x14ac:dyDescent="0.2">
      <c r="D1570" s="1"/>
    </row>
    <row r="1571" spans="4:4" x14ac:dyDescent="0.2">
      <c r="D1571" s="1"/>
    </row>
    <row r="1572" spans="4:4" x14ac:dyDescent="0.2">
      <c r="D1572" s="1"/>
    </row>
    <row r="1573" spans="4:4" x14ac:dyDescent="0.2">
      <c r="D1573" s="1"/>
    </row>
    <row r="1574" spans="4:4" x14ac:dyDescent="0.2">
      <c r="D1574" s="1"/>
    </row>
    <row r="1575" spans="4:4" x14ac:dyDescent="0.2">
      <c r="D1575" s="1"/>
    </row>
    <row r="1576" spans="4:4" x14ac:dyDescent="0.2">
      <c r="D1576" s="1"/>
    </row>
    <row r="1577" spans="4:4" x14ac:dyDescent="0.2">
      <c r="D1577" s="1"/>
    </row>
    <row r="1578" spans="4:4" x14ac:dyDescent="0.2">
      <c r="D1578" s="1"/>
    </row>
    <row r="1579" spans="4:4" x14ac:dyDescent="0.2">
      <c r="D1579" s="1"/>
    </row>
    <row r="1580" spans="4:4" x14ac:dyDescent="0.2">
      <c r="D1580" s="1"/>
    </row>
    <row r="1581" spans="4:4" x14ac:dyDescent="0.2">
      <c r="D1581" s="1"/>
    </row>
    <row r="1582" spans="4:4" x14ac:dyDescent="0.2">
      <c r="D1582" s="1"/>
    </row>
    <row r="1583" spans="4:4" x14ac:dyDescent="0.2">
      <c r="D1583" s="1"/>
    </row>
    <row r="1584" spans="4:4" x14ac:dyDescent="0.2">
      <c r="D1584" s="1"/>
    </row>
    <row r="1585" spans="4:4" x14ac:dyDescent="0.2">
      <c r="D1585" s="1"/>
    </row>
    <row r="1586" spans="4:4" x14ac:dyDescent="0.2">
      <c r="D1586" s="1"/>
    </row>
    <row r="1587" spans="4:4" x14ac:dyDescent="0.2">
      <c r="D1587" s="1"/>
    </row>
    <row r="1588" spans="4:4" x14ac:dyDescent="0.2">
      <c r="D1588" s="1"/>
    </row>
    <row r="1589" spans="4:4" x14ac:dyDescent="0.2">
      <c r="D1589" s="1"/>
    </row>
    <row r="1590" spans="4:4" x14ac:dyDescent="0.2">
      <c r="D1590" s="1"/>
    </row>
    <row r="1591" spans="4:4" x14ac:dyDescent="0.2">
      <c r="D1591" s="1"/>
    </row>
    <row r="1592" spans="4:4" x14ac:dyDescent="0.2">
      <c r="D1592" s="1"/>
    </row>
    <row r="1593" spans="4:4" x14ac:dyDescent="0.2">
      <c r="D1593" s="1"/>
    </row>
    <row r="1594" spans="4:4" x14ac:dyDescent="0.2">
      <c r="D1594" s="1"/>
    </row>
    <row r="1595" spans="4:4" x14ac:dyDescent="0.2">
      <c r="D1595" s="1"/>
    </row>
    <row r="1596" spans="4:4" x14ac:dyDescent="0.2">
      <c r="D1596" s="1"/>
    </row>
    <row r="1597" spans="4:4" x14ac:dyDescent="0.2">
      <c r="D1597" s="1"/>
    </row>
    <row r="1598" spans="4:4" x14ac:dyDescent="0.2">
      <c r="D1598" s="1"/>
    </row>
    <row r="1599" spans="4:4" x14ac:dyDescent="0.2">
      <c r="D1599" s="1"/>
    </row>
    <row r="1600" spans="4:4" x14ac:dyDescent="0.2">
      <c r="D1600" s="1"/>
    </row>
    <row r="1601" spans="4:4" x14ac:dyDescent="0.2">
      <c r="D1601" s="1"/>
    </row>
    <row r="1602" spans="4:4" x14ac:dyDescent="0.2">
      <c r="D1602" s="1"/>
    </row>
    <row r="1603" spans="4:4" x14ac:dyDescent="0.2">
      <c r="D1603" s="1"/>
    </row>
    <row r="1604" spans="4:4" x14ac:dyDescent="0.2">
      <c r="D1604" s="1"/>
    </row>
    <row r="1605" spans="4:4" x14ac:dyDescent="0.2">
      <c r="D1605" s="1"/>
    </row>
    <row r="1606" spans="4:4" x14ac:dyDescent="0.2">
      <c r="D1606" s="1"/>
    </row>
    <row r="1607" spans="4:4" x14ac:dyDescent="0.2">
      <c r="D1607" s="1"/>
    </row>
    <row r="1608" spans="4:4" x14ac:dyDescent="0.2">
      <c r="D1608" s="1"/>
    </row>
    <row r="1609" spans="4:4" x14ac:dyDescent="0.2">
      <c r="D1609" s="1"/>
    </row>
    <row r="1610" spans="4:4" x14ac:dyDescent="0.2">
      <c r="D1610" s="1"/>
    </row>
    <row r="1611" spans="4:4" x14ac:dyDescent="0.2">
      <c r="D1611" s="1"/>
    </row>
    <row r="1612" spans="4:4" x14ac:dyDescent="0.2">
      <c r="D1612" s="1"/>
    </row>
    <row r="1613" spans="4:4" x14ac:dyDescent="0.2">
      <c r="D1613" s="1"/>
    </row>
    <row r="1614" spans="4:4" x14ac:dyDescent="0.2">
      <c r="D1614" s="1"/>
    </row>
    <row r="1615" spans="4:4" x14ac:dyDescent="0.2">
      <c r="D1615" s="1"/>
    </row>
    <row r="1616" spans="4:4" x14ac:dyDescent="0.2">
      <c r="D1616" s="1"/>
    </row>
    <row r="1617" spans="4:4" x14ac:dyDescent="0.2">
      <c r="D1617" s="1"/>
    </row>
    <row r="1618" spans="4:4" x14ac:dyDescent="0.2">
      <c r="D1618" s="1"/>
    </row>
    <row r="1619" spans="4:4" x14ac:dyDescent="0.2">
      <c r="D1619" s="1"/>
    </row>
    <row r="1620" spans="4:4" x14ac:dyDescent="0.2">
      <c r="D1620" s="1"/>
    </row>
    <row r="1621" spans="4:4" x14ac:dyDescent="0.2">
      <c r="D1621" s="1"/>
    </row>
    <row r="1622" spans="4:4" x14ac:dyDescent="0.2">
      <c r="D1622" s="1"/>
    </row>
    <row r="1623" spans="4:4" x14ac:dyDescent="0.2">
      <c r="D1623" s="1"/>
    </row>
    <row r="1624" spans="4:4" x14ac:dyDescent="0.2">
      <c r="D1624" s="1"/>
    </row>
    <row r="1625" spans="4:4" x14ac:dyDescent="0.2">
      <c r="D1625" s="1"/>
    </row>
    <row r="1626" spans="4:4" x14ac:dyDescent="0.2">
      <c r="D1626" s="1"/>
    </row>
    <row r="1627" spans="4:4" x14ac:dyDescent="0.2">
      <c r="D1627" s="1"/>
    </row>
    <row r="1628" spans="4:4" x14ac:dyDescent="0.2">
      <c r="D1628" s="1"/>
    </row>
    <row r="1629" spans="4:4" x14ac:dyDescent="0.2">
      <c r="D1629" s="1"/>
    </row>
    <row r="1630" spans="4:4" x14ac:dyDescent="0.2">
      <c r="D1630" s="1"/>
    </row>
    <row r="1631" spans="4:4" x14ac:dyDescent="0.2">
      <c r="D1631" s="1"/>
    </row>
    <row r="1632" spans="4:4" x14ac:dyDescent="0.2">
      <c r="D1632" s="1"/>
    </row>
    <row r="1633" spans="4:4" x14ac:dyDescent="0.2">
      <c r="D1633" s="1"/>
    </row>
    <row r="1634" spans="4:4" x14ac:dyDescent="0.2">
      <c r="D1634" s="1"/>
    </row>
    <row r="1635" spans="4:4" x14ac:dyDescent="0.2">
      <c r="D1635" s="1"/>
    </row>
    <row r="1636" spans="4:4" x14ac:dyDescent="0.2">
      <c r="D1636" s="1"/>
    </row>
    <row r="1637" spans="4:4" x14ac:dyDescent="0.2">
      <c r="D1637" s="1"/>
    </row>
    <row r="1638" spans="4:4" x14ac:dyDescent="0.2">
      <c r="D1638" s="1"/>
    </row>
    <row r="1639" spans="4:4" x14ac:dyDescent="0.2">
      <c r="D1639" s="1"/>
    </row>
    <row r="1640" spans="4:4" x14ac:dyDescent="0.2">
      <c r="D1640" s="1"/>
    </row>
    <row r="1641" spans="4:4" x14ac:dyDescent="0.2">
      <c r="D1641" s="1"/>
    </row>
    <row r="1642" spans="4:4" x14ac:dyDescent="0.2">
      <c r="D1642" s="1"/>
    </row>
    <row r="1643" spans="4:4" x14ac:dyDescent="0.2">
      <c r="D1643" s="1"/>
    </row>
    <row r="1644" spans="4:4" x14ac:dyDescent="0.2">
      <c r="D1644" s="1"/>
    </row>
    <row r="1645" spans="4:4" x14ac:dyDescent="0.2">
      <c r="D1645" s="1"/>
    </row>
    <row r="1646" spans="4:4" x14ac:dyDescent="0.2">
      <c r="D1646" s="1"/>
    </row>
    <row r="1647" spans="4:4" x14ac:dyDescent="0.2">
      <c r="D1647" s="1"/>
    </row>
    <row r="1648" spans="4:4" x14ac:dyDescent="0.2">
      <c r="D1648" s="1"/>
    </row>
    <row r="1649" spans="4:4" x14ac:dyDescent="0.2">
      <c r="D1649" s="1"/>
    </row>
    <row r="1650" spans="4:4" x14ac:dyDescent="0.2">
      <c r="D1650" s="1"/>
    </row>
    <row r="1651" spans="4:4" x14ac:dyDescent="0.2">
      <c r="D1651" s="1"/>
    </row>
    <row r="1652" spans="4:4" x14ac:dyDescent="0.2">
      <c r="D1652" s="1"/>
    </row>
    <row r="1653" spans="4:4" x14ac:dyDescent="0.2">
      <c r="D1653" s="1"/>
    </row>
    <row r="1654" spans="4:4" x14ac:dyDescent="0.2">
      <c r="D1654" s="1"/>
    </row>
    <row r="1655" spans="4:4" x14ac:dyDescent="0.2">
      <c r="D1655" s="1"/>
    </row>
    <row r="1656" spans="4:4" x14ac:dyDescent="0.2">
      <c r="D1656" s="1"/>
    </row>
    <row r="1657" spans="4:4" x14ac:dyDescent="0.2">
      <c r="D1657" s="1"/>
    </row>
    <row r="1658" spans="4:4" x14ac:dyDescent="0.2">
      <c r="D1658" s="1"/>
    </row>
    <row r="1659" spans="4:4" x14ac:dyDescent="0.2">
      <c r="D1659" s="1"/>
    </row>
    <row r="1660" spans="4:4" x14ac:dyDescent="0.2">
      <c r="D1660" s="1"/>
    </row>
    <row r="1661" spans="4:4" x14ac:dyDescent="0.2">
      <c r="D1661" s="1"/>
    </row>
    <row r="1662" spans="4:4" x14ac:dyDescent="0.2">
      <c r="D1662" s="1"/>
    </row>
    <row r="1663" spans="4:4" x14ac:dyDescent="0.2">
      <c r="D1663" s="1"/>
    </row>
    <row r="1664" spans="4:4" x14ac:dyDescent="0.2">
      <c r="D1664" s="1"/>
    </row>
    <row r="1665" spans="4:4" x14ac:dyDescent="0.2">
      <c r="D1665" s="1"/>
    </row>
    <row r="1666" spans="4:4" x14ac:dyDescent="0.2">
      <c r="D1666" s="1"/>
    </row>
    <row r="1667" spans="4:4" x14ac:dyDescent="0.2">
      <c r="D1667" s="1"/>
    </row>
    <row r="1668" spans="4:4" x14ac:dyDescent="0.2">
      <c r="D1668" s="1"/>
    </row>
    <row r="1669" spans="4:4" x14ac:dyDescent="0.2">
      <c r="D1669" s="1"/>
    </row>
    <row r="1670" spans="4:4" x14ac:dyDescent="0.2">
      <c r="D1670" s="1"/>
    </row>
    <row r="1671" spans="4:4" x14ac:dyDescent="0.2">
      <c r="D1671" s="1"/>
    </row>
    <row r="1672" spans="4:4" x14ac:dyDescent="0.2">
      <c r="D1672" s="1"/>
    </row>
    <row r="1673" spans="4:4" x14ac:dyDescent="0.2">
      <c r="D1673" s="1"/>
    </row>
    <row r="1674" spans="4:4" x14ac:dyDescent="0.2">
      <c r="D1674" s="1"/>
    </row>
    <row r="1675" spans="4:4" x14ac:dyDescent="0.2">
      <c r="D1675" s="1"/>
    </row>
    <row r="1676" spans="4:4" x14ac:dyDescent="0.2">
      <c r="D1676" s="1"/>
    </row>
    <row r="1677" spans="4:4" x14ac:dyDescent="0.2">
      <c r="D1677" s="1"/>
    </row>
    <row r="1678" spans="4:4" x14ac:dyDescent="0.2">
      <c r="D1678" s="1"/>
    </row>
    <row r="1679" spans="4:4" x14ac:dyDescent="0.2">
      <c r="D1679" s="1"/>
    </row>
    <row r="1680" spans="4:4" x14ac:dyDescent="0.2">
      <c r="D1680" s="1"/>
    </row>
    <row r="1681" spans="4:4" x14ac:dyDescent="0.2">
      <c r="D1681" s="1"/>
    </row>
    <row r="1682" spans="4:4" x14ac:dyDescent="0.2">
      <c r="D1682" s="1"/>
    </row>
    <row r="1683" spans="4:4" x14ac:dyDescent="0.2">
      <c r="D1683" s="1"/>
    </row>
    <row r="1684" spans="4:4" x14ac:dyDescent="0.2">
      <c r="D1684" s="1"/>
    </row>
    <row r="1685" spans="4:4" x14ac:dyDescent="0.2">
      <c r="D1685" s="1"/>
    </row>
    <row r="1686" spans="4:4" x14ac:dyDescent="0.2">
      <c r="D1686" s="1"/>
    </row>
    <row r="1687" spans="4:4" x14ac:dyDescent="0.2">
      <c r="D1687" s="1"/>
    </row>
    <row r="1688" spans="4:4" x14ac:dyDescent="0.2">
      <c r="D1688" s="1"/>
    </row>
    <row r="1689" spans="4:4" x14ac:dyDescent="0.2">
      <c r="D1689" s="1"/>
    </row>
    <row r="1690" spans="4:4" x14ac:dyDescent="0.2">
      <c r="D1690" s="1"/>
    </row>
    <row r="1691" spans="4:4" x14ac:dyDescent="0.2">
      <c r="D1691" s="1"/>
    </row>
    <row r="1692" spans="4:4" x14ac:dyDescent="0.2">
      <c r="D1692" s="1"/>
    </row>
    <row r="1693" spans="4:4" x14ac:dyDescent="0.2">
      <c r="D1693" s="1"/>
    </row>
    <row r="1694" spans="4:4" x14ac:dyDescent="0.2">
      <c r="D1694" s="1"/>
    </row>
    <row r="1695" spans="4:4" x14ac:dyDescent="0.2">
      <c r="D1695" s="1"/>
    </row>
    <row r="1696" spans="4:4" x14ac:dyDescent="0.2">
      <c r="D1696" s="1"/>
    </row>
    <row r="1697" spans="4:4" x14ac:dyDescent="0.2">
      <c r="D1697" s="1"/>
    </row>
    <row r="1698" spans="4:4" x14ac:dyDescent="0.2">
      <c r="D1698" s="1"/>
    </row>
    <row r="1699" spans="4:4" x14ac:dyDescent="0.2">
      <c r="D1699" s="1"/>
    </row>
    <row r="1700" spans="4:4" x14ac:dyDescent="0.2">
      <c r="D1700" s="1"/>
    </row>
    <row r="1701" spans="4:4" x14ac:dyDescent="0.2">
      <c r="D1701" s="1"/>
    </row>
    <row r="1702" spans="4:4" x14ac:dyDescent="0.2">
      <c r="D1702" s="1"/>
    </row>
    <row r="1703" spans="4:4" x14ac:dyDescent="0.2">
      <c r="D1703" s="1"/>
    </row>
    <row r="1704" spans="4:4" x14ac:dyDescent="0.2">
      <c r="D1704" s="1"/>
    </row>
    <row r="1705" spans="4:4" x14ac:dyDescent="0.2">
      <c r="D1705" s="1"/>
    </row>
    <row r="1706" spans="4:4" x14ac:dyDescent="0.2">
      <c r="D1706" s="1"/>
    </row>
    <row r="1707" spans="4:4" x14ac:dyDescent="0.2">
      <c r="D1707" s="1"/>
    </row>
    <row r="1708" spans="4:4" x14ac:dyDescent="0.2">
      <c r="D1708" s="1"/>
    </row>
    <row r="1709" spans="4:4" x14ac:dyDescent="0.2">
      <c r="D1709" s="1"/>
    </row>
    <row r="1710" spans="4:4" x14ac:dyDescent="0.2">
      <c r="D1710" s="1"/>
    </row>
    <row r="1711" spans="4:4" x14ac:dyDescent="0.2">
      <c r="D1711" s="1"/>
    </row>
    <row r="1712" spans="4:4" x14ac:dyDescent="0.2">
      <c r="D1712" s="1"/>
    </row>
    <row r="1713" spans="4:4" x14ac:dyDescent="0.2">
      <c r="D1713" s="1"/>
    </row>
    <row r="1714" spans="4:4" x14ac:dyDescent="0.2">
      <c r="D1714" s="1"/>
    </row>
    <row r="1715" spans="4:4" x14ac:dyDescent="0.2">
      <c r="D1715" s="1"/>
    </row>
    <row r="1716" spans="4:4" x14ac:dyDescent="0.2">
      <c r="D1716" s="1"/>
    </row>
    <row r="1717" spans="4:4" x14ac:dyDescent="0.2">
      <c r="D1717" s="1"/>
    </row>
    <row r="1718" spans="4:4" x14ac:dyDescent="0.2">
      <c r="D1718" s="1"/>
    </row>
    <row r="1719" spans="4:4" x14ac:dyDescent="0.2">
      <c r="D1719" s="1"/>
    </row>
    <row r="1720" spans="4:4" x14ac:dyDescent="0.2">
      <c r="D1720" s="1"/>
    </row>
    <row r="1721" spans="4:4" x14ac:dyDescent="0.2">
      <c r="D1721" s="1"/>
    </row>
    <row r="1722" spans="4:4" x14ac:dyDescent="0.2">
      <c r="D1722" s="1"/>
    </row>
    <row r="1723" spans="4:4" x14ac:dyDescent="0.2">
      <c r="D1723" s="1"/>
    </row>
    <row r="1724" spans="4:4" x14ac:dyDescent="0.2">
      <c r="D1724" s="1"/>
    </row>
    <row r="1725" spans="4:4" x14ac:dyDescent="0.2">
      <c r="D1725" s="1"/>
    </row>
    <row r="1726" spans="4:4" x14ac:dyDescent="0.2">
      <c r="D1726" s="1"/>
    </row>
    <row r="1727" spans="4:4" x14ac:dyDescent="0.2">
      <c r="D1727" s="1"/>
    </row>
    <row r="1728" spans="4:4" x14ac:dyDescent="0.2">
      <c r="D1728" s="1"/>
    </row>
    <row r="1729" spans="4:4" x14ac:dyDescent="0.2">
      <c r="D1729" s="1"/>
    </row>
    <row r="1730" spans="4:4" x14ac:dyDescent="0.2">
      <c r="D1730" s="1"/>
    </row>
    <row r="1731" spans="4:4" x14ac:dyDescent="0.2">
      <c r="D1731" s="1"/>
    </row>
    <row r="1732" spans="4:4" x14ac:dyDescent="0.2">
      <c r="D1732" s="1"/>
    </row>
    <row r="1733" spans="4:4" x14ac:dyDescent="0.2">
      <c r="D1733" s="1"/>
    </row>
    <row r="1734" spans="4:4" x14ac:dyDescent="0.2">
      <c r="D1734" s="1"/>
    </row>
    <row r="1735" spans="4:4" x14ac:dyDescent="0.2">
      <c r="D1735" s="1"/>
    </row>
    <row r="1736" spans="4:4" x14ac:dyDescent="0.2">
      <c r="D1736" s="1"/>
    </row>
    <row r="1737" spans="4:4" x14ac:dyDescent="0.2">
      <c r="D1737" s="1"/>
    </row>
    <row r="1738" spans="4:4" x14ac:dyDescent="0.2">
      <c r="D1738" s="1"/>
    </row>
    <row r="1739" spans="4:4" x14ac:dyDescent="0.2">
      <c r="D1739" s="1"/>
    </row>
    <row r="1740" spans="4:4" x14ac:dyDescent="0.2">
      <c r="D1740" s="1"/>
    </row>
    <row r="1741" spans="4:4" x14ac:dyDescent="0.2">
      <c r="D1741" s="1"/>
    </row>
    <row r="1742" spans="4:4" x14ac:dyDescent="0.2">
      <c r="D1742" s="1"/>
    </row>
    <row r="1743" spans="4:4" x14ac:dyDescent="0.2">
      <c r="D1743" s="1"/>
    </row>
    <row r="1744" spans="4:4" x14ac:dyDescent="0.2">
      <c r="D1744" s="1"/>
    </row>
    <row r="1745" spans="4:4" x14ac:dyDescent="0.2">
      <c r="D1745" s="1"/>
    </row>
    <row r="1746" spans="4:4" x14ac:dyDescent="0.2">
      <c r="D1746" s="1"/>
    </row>
    <row r="1747" spans="4:4" x14ac:dyDescent="0.2">
      <c r="D1747" s="1"/>
    </row>
    <row r="1748" spans="4:4" x14ac:dyDescent="0.2">
      <c r="D1748" s="1"/>
    </row>
    <row r="1749" spans="4:4" x14ac:dyDescent="0.2">
      <c r="D1749" s="1"/>
    </row>
    <row r="1750" spans="4:4" x14ac:dyDescent="0.2">
      <c r="D1750" s="1"/>
    </row>
    <row r="1751" spans="4:4" x14ac:dyDescent="0.2">
      <c r="D1751" s="1"/>
    </row>
    <row r="1752" spans="4:4" x14ac:dyDescent="0.2">
      <c r="D1752" s="1"/>
    </row>
    <row r="1753" spans="4:4" x14ac:dyDescent="0.2">
      <c r="D1753" s="1"/>
    </row>
    <row r="1754" spans="4:4" x14ac:dyDescent="0.2">
      <c r="D1754" s="1"/>
    </row>
    <row r="1755" spans="4:4" x14ac:dyDescent="0.2">
      <c r="D1755" s="1"/>
    </row>
    <row r="1756" spans="4:4" x14ac:dyDescent="0.2">
      <c r="D1756" s="1"/>
    </row>
    <row r="1757" spans="4:4" x14ac:dyDescent="0.2">
      <c r="D1757" s="1"/>
    </row>
    <row r="1758" spans="4:4" x14ac:dyDescent="0.2">
      <c r="D1758" s="1"/>
    </row>
    <row r="1759" spans="4:4" x14ac:dyDescent="0.2">
      <c r="D1759" s="1"/>
    </row>
    <row r="1760" spans="4:4" x14ac:dyDescent="0.2">
      <c r="D1760" s="1"/>
    </row>
    <row r="1761" spans="4:4" x14ac:dyDescent="0.2">
      <c r="D1761" s="1"/>
    </row>
    <row r="1762" spans="4:4" x14ac:dyDescent="0.2">
      <c r="D1762" s="1"/>
    </row>
    <row r="1763" spans="4:4" x14ac:dyDescent="0.2">
      <c r="D1763" s="1"/>
    </row>
    <row r="1764" spans="4:4" x14ac:dyDescent="0.2">
      <c r="D1764" s="1"/>
    </row>
    <row r="1765" spans="4:4" x14ac:dyDescent="0.2">
      <c r="D1765" s="1"/>
    </row>
    <row r="1766" spans="4:4" x14ac:dyDescent="0.2">
      <c r="D1766" s="1"/>
    </row>
    <row r="1767" spans="4:4" x14ac:dyDescent="0.2">
      <c r="D1767" s="1"/>
    </row>
    <row r="1768" spans="4:4" x14ac:dyDescent="0.2">
      <c r="D1768" s="1"/>
    </row>
    <row r="1769" spans="4:4" x14ac:dyDescent="0.2">
      <c r="D1769" s="1"/>
    </row>
    <row r="1770" spans="4:4" x14ac:dyDescent="0.2">
      <c r="D1770" s="1"/>
    </row>
    <row r="1771" spans="4:4" x14ac:dyDescent="0.2">
      <c r="D1771" s="1"/>
    </row>
    <row r="1772" spans="4:4" x14ac:dyDescent="0.2">
      <c r="D1772" s="1"/>
    </row>
    <row r="1773" spans="4:4" x14ac:dyDescent="0.2">
      <c r="D1773" s="1"/>
    </row>
    <row r="1774" spans="4:4" x14ac:dyDescent="0.2">
      <c r="D1774" s="1"/>
    </row>
    <row r="1775" spans="4:4" x14ac:dyDescent="0.2">
      <c r="D1775" s="1"/>
    </row>
    <row r="1776" spans="4:4" x14ac:dyDescent="0.2">
      <c r="D1776" s="1"/>
    </row>
    <row r="1777" spans="4:4" x14ac:dyDescent="0.2">
      <c r="D1777" s="1"/>
    </row>
    <row r="1778" spans="4:4" x14ac:dyDescent="0.2">
      <c r="D1778" s="1"/>
    </row>
    <row r="1779" spans="4:4" x14ac:dyDescent="0.2">
      <c r="D1779" s="1"/>
    </row>
    <row r="1780" spans="4:4" x14ac:dyDescent="0.2">
      <c r="D1780" s="1"/>
    </row>
    <row r="1781" spans="4:4" x14ac:dyDescent="0.2">
      <c r="D1781" s="1"/>
    </row>
    <row r="1782" spans="4:4" x14ac:dyDescent="0.2">
      <c r="D1782" s="1"/>
    </row>
    <row r="1783" spans="4:4" x14ac:dyDescent="0.2">
      <c r="D1783" s="1"/>
    </row>
    <row r="1784" spans="4:4" x14ac:dyDescent="0.2">
      <c r="D1784" s="1"/>
    </row>
    <row r="1785" spans="4:4" x14ac:dyDescent="0.2">
      <c r="D1785" s="1"/>
    </row>
    <row r="1786" spans="4:4" x14ac:dyDescent="0.2">
      <c r="D1786" s="1"/>
    </row>
    <row r="1787" spans="4:4" x14ac:dyDescent="0.2">
      <c r="D1787" s="1"/>
    </row>
    <row r="1788" spans="4:4" x14ac:dyDescent="0.2">
      <c r="D1788" s="1"/>
    </row>
    <row r="1789" spans="4:4" x14ac:dyDescent="0.2">
      <c r="D1789" s="1"/>
    </row>
    <row r="1790" spans="4:4" x14ac:dyDescent="0.2">
      <c r="D1790" s="1"/>
    </row>
    <row r="1791" spans="4:4" x14ac:dyDescent="0.2">
      <c r="D1791" s="1"/>
    </row>
    <row r="1792" spans="4:4" x14ac:dyDescent="0.2">
      <c r="D1792" s="1"/>
    </row>
    <row r="1793" spans="4:4" x14ac:dyDescent="0.2">
      <c r="D1793" s="1"/>
    </row>
    <row r="1794" spans="4:4" x14ac:dyDescent="0.2">
      <c r="D1794" s="1"/>
    </row>
    <row r="1795" spans="4:4" x14ac:dyDescent="0.2">
      <c r="D1795" s="1"/>
    </row>
    <row r="1796" spans="4:4" x14ac:dyDescent="0.2">
      <c r="D1796" s="1"/>
    </row>
    <row r="1797" spans="4:4" x14ac:dyDescent="0.2">
      <c r="D1797" s="1"/>
    </row>
    <row r="1798" spans="4:4" x14ac:dyDescent="0.2">
      <c r="D1798" s="1"/>
    </row>
    <row r="1799" spans="4:4" x14ac:dyDescent="0.2">
      <c r="D1799" s="1"/>
    </row>
    <row r="1800" spans="4:4" x14ac:dyDescent="0.2">
      <c r="D1800" s="1"/>
    </row>
    <row r="1801" spans="4:4" x14ac:dyDescent="0.2">
      <c r="D1801" s="1"/>
    </row>
    <row r="1802" spans="4:4" x14ac:dyDescent="0.2">
      <c r="D1802" s="1"/>
    </row>
    <row r="1803" spans="4:4" x14ac:dyDescent="0.2">
      <c r="D1803" s="1"/>
    </row>
    <row r="1804" spans="4:4" x14ac:dyDescent="0.2">
      <c r="D1804" s="1"/>
    </row>
    <row r="1805" spans="4:4" x14ac:dyDescent="0.2">
      <c r="D1805" s="1"/>
    </row>
    <row r="1806" spans="4:4" x14ac:dyDescent="0.2">
      <c r="D1806" s="1"/>
    </row>
    <row r="1807" spans="4:4" x14ac:dyDescent="0.2">
      <c r="D1807" s="1"/>
    </row>
    <row r="1808" spans="4:4" x14ac:dyDescent="0.2">
      <c r="D1808" s="1"/>
    </row>
    <row r="1809" spans="4:4" x14ac:dyDescent="0.2">
      <c r="D1809" s="1"/>
    </row>
    <row r="1810" spans="4:4" x14ac:dyDescent="0.2">
      <c r="D1810" s="1"/>
    </row>
    <row r="1811" spans="4:4" x14ac:dyDescent="0.2">
      <c r="D1811" s="1"/>
    </row>
    <row r="1812" spans="4:4" x14ac:dyDescent="0.2">
      <c r="D1812" s="1"/>
    </row>
    <row r="1813" spans="4:4" x14ac:dyDescent="0.2">
      <c r="D1813" s="1"/>
    </row>
    <row r="1814" spans="4:4" x14ac:dyDescent="0.2">
      <c r="D1814" s="1"/>
    </row>
    <row r="1815" spans="4:4" x14ac:dyDescent="0.2">
      <c r="D1815" s="1"/>
    </row>
    <row r="1816" spans="4:4" x14ac:dyDescent="0.2">
      <c r="D1816" s="1"/>
    </row>
    <row r="1817" spans="4:4" x14ac:dyDescent="0.2">
      <c r="D1817" s="1"/>
    </row>
    <row r="1818" spans="4:4" x14ac:dyDescent="0.2">
      <c r="D1818" s="1"/>
    </row>
    <row r="1819" spans="4:4" x14ac:dyDescent="0.2">
      <c r="D1819" s="1"/>
    </row>
    <row r="1820" spans="4:4" x14ac:dyDescent="0.2">
      <c r="D1820" s="1"/>
    </row>
    <row r="1821" spans="4:4" x14ac:dyDescent="0.2">
      <c r="D1821" s="1"/>
    </row>
    <row r="1822" spans="4:4" x14ac:dyDescent="0.2">
      <c r="D1822" s="1"/>
    </row>
    <row r="1823" spans="4:4" x14ac:dyDescent="0.2">
      <c r="D1823" s="1"/>
    </row>
    <row r="1824" spans="4:4" x14ac:dyDescent="0.2">
      <c r="D1824" s="1"/>
    </row>
    <row r="1825" spans="4:4" x14ac:dyDescent="0.2">
      <c r="D1825" s="1"/>
    </row>
    <row r="1826" spans="4:4" x14ac:dyDescent="0.2">
      <c r="D1826" s="1"/>
    </row>
    <row r="1827" spans="4:4" x14ac:dyDescent="0.2">
      <c r="D1827" s="1"/>
    </row>
    <row r="1828" spans="4:4" x14ac:dyDescent="0.2">
      <c r="D1828" s="1"/>
    </row>
    <row r="1829" spans="4:4" x14ac:dyDescent="0.2">
      <c r="D1829" s="1"/>
    </row>
    <row r="1830" spans="4:4" x14ac:dyDescent="0.2">
      <c r="D1830" s="1"/>
    </row>
    <row r="1831" spans="4:4" x14ac:dyDescent="0.2">
      <c r="D1831" s="1"/>
    </row>
    <row r="1832" spans="4:4" x14ac:dyDescent="0.2">
      <c r="D1832" s="1"/>
    </row>
    <row r="1833" spans="4:4" x14ac:dyDescent="0.2">
      <c r="D1833" s="1"/>
    </row>
    <row r="1834" spans="4:4" x14ac:dyDescent="0.2">
      <c r="D1834" s="1"/>
    </row>
    <row r="1835" spans="4:4" x14ac:dyDescent="0.2">
      <c r="D1835" s="1"/>
    </row>
    <row r="1836" spans="4:4" x14ac:dyDescent="0.2">
      <c r="D1836" s="1"/>
    </row>
    <row r="1837" spans="4:4" x14ac:dyDescent="0.2">
      <c r="D1837" s="1"/>
    </row>
    <row r="1838" spans="4:4" x14ac:dyDescent="0.2">
      <c r="D1838" s="1"/>
    </row>
    <row r="1839" spans="4:4" x14ac:dyDescent="0.2">
      <c r="D1839" s="1"/>
    </row>
    <row r="1840" spans="4:4" x14ac:dyDescent="0.2">
      <c r="D1840" s="1"/>
    </row>
    <row r="1841" spans="4:4" x14ac:dyDescent="0.2">
      <c r="D1841" s="1"/>
    </row>
    <row r="1842" spans="4:4" x14ac:dyDescent="0.2">
      <c r="D1842" s="1"/>
    </row>
    <row r="1843" spans="4:4" x14ac:dyDescent="0.2">
      <c r="D1843" s="1"/>
    </row>
    <row r="1844" spans="4:4" x14ac:dyDescent="0.2">
      <c r="D1844" s="1"/>
    </row>
    <row r="1845" spans="4:4" x14ac:dyDescent="0.2">
      <c r="D1845" s="1"/>
    </row>
    <row r="1846" spans="4:4" x14ac:dyDescent="0.2">
      <c r="D1846" s="1"/>
    </row>
    <row r="1847" spans="4:4" x14ac:dyDescent="0.2">
      <c r="D1847" s="1"/>
    </row>
    <row r="1848" spans="4:4" x14ac:dyDescent="0.2">
      <c r="D1848" s="1"/>
    </row>
    <row r="1849" spans="4:4" x14ac:dyDescent="0.2">
      <c r="D1849" s="1"/>
    </row>
    <row r="1850" spans="4:4" x14ac:dyDescent="0.2">
      <c r="D1850" s="1"/>
    </row>
    <row r="1851" spans="4:4" x14ac:dyDescent="0.2">
      <c r="D1851" s="1"/>
    </row>
    <row r="1852" spans="4:4" x14ac:dyDescent="0.2">
      <c r="D1852" s="1"/>
    </row>
    <row r="1853" spans="4:4" x14ac:dyDescent="0.2">
      <c r="D1853" s="1"/>
    </row>
    <row r="1854" spans="4:4" x14ac:dyDescent="0.2">
      <c r="D1854" s="1"/>
    </row>
    <row r="1855" spans="4:4" x14ac:dyDescent="0.2">
      <c r="D1855" s="1"/>
    </row>
    <row r="1856" spans="4:4" x14ac:dyDescent="0.2">
      <c r="D1856" s="1"/>
    </row>
    <row r="1857" spans="4:4" x14ac:dyDescent="0.2">
      <c r="D1857" s="1"/>
    </row>
    <row r="1858" spans="4:4" x14ac:dyDescent="0.2">
      <c r="D1858" s="1"/>
    </row>
    <row r="1859" spans="4:4" x14ac:dyDescent="0.2">
      <c r="D1859" s="1"/>
    </row>
    <row r="1860" spans="4:4" x14ac:dyDescent="0.2">
      <c r="D1860" s="1"/>
    </row>
    <row r="1861" spans="4:4" x14ac:dyDescent="0.2">
      <c r="D1861" s="1"/>
    </row>
    <row r="1862" spans="4:4" x14ac:dyDescent="0.2">
      <c r="D1862" s="1"/>
    </row>
    <row r="1863" spans="4:4" x14ac:dyDescent="0.2">
      <c r="D1863" s="1"/>
    </row>
    <row r="1864" spans="4:4" x14ac:dyDescent="0.2">
      <c r="D1864" s="1"/>
    </row>
    <row r="1865" spans="4:4" x14ac:dyDescent="0.2">
      <c r="D1865" s="1"/>
    </row>
    <row r="1866" spans="4:4" x14ac:dyDescent="0.2">
      <c r="D1866" s="1"/>
    </row>
    <row r="1867" spans="4:4" x14ac:dyDescent="0.2">
      <c r="D1867" s="1"/>
    </row>
    <row r="1868" spans="4:4" x14ac:dyDescent="0.2">
      <c r="D1868" s="1"/>
    </row>
    <row r="1869" spans="4:4" x14ac:dyDescent="0.2">
      <c r="D1869" s="1"/>
    </row>
    <row r="1870" spans="4:4" x14ac:dyDescent="0.2">
      <c r="D1870" s="1"/>
    </row>
    <row r="1871" spans="4:4" x14ac:dyDescent="0.2">
      <c r="D1871" s="1"/>
    </row>
    <row r="1872" spans="4:4" x14ac:dyDescent="0.2">
      <c r="D1872" s="1"/>
    </row>
    <row r="1873" spans="4:4" x14ac:dyDescent="0.2">
      <c r="D1873" s="1"/>
    </row>
    <row r="1874" spans="4:4" x14ac:dyDescent="0.2">
      <c r="D1874" s="1"/>
    </row>
    <row r="1875" spans="4:4" x14ac:dyDescent="0.2">
      <c r="D1875" s="1"/>
    </row>
    <row r="1876" spans="4:4" x14ac:dyDescent="0.2">
      <c r="D1876" s="1"/>
    </row>
    <row r="1877" spans="4:4" x14ac:dyDescent="0.2">
      <c r="D1877" s="1"/>
    </row>
    <row r="1878" spans="4:4" x14ac:dyDescent="0.2">
      <c r="D1878" s="1"/>
    </row>
    <row r="1879" spans="4:4" x14ac:dyDescent="0.2">
      <c r="D1879" s="1"/>
    </row>
    <row r="1880" spans="4:4" x14ac:dyDescent="0.2">
      <c r="D1880" s="1"/>
    </row>
    <row r="1881" spans="4:4" x14ac:dyDescent="0.2">
      <c r="D1881" s="1"/>
    </row>
    <row r="1882" spans="4:4" x14ac:dyDescent="0.2">
      <c r="D1882" s="1"/>
    </row>
    <row r="1883" spans="4:4" x14ac:dyDescent="0.2">
      <c r="D1883" s="1"/>
    </row>
    <row r="1884" spans="4:4" x14ac:dyDescent="0.2">
      <c r="D1884" s="1"/>
    </row>
    <row r="1885" spans="4:4" x14ac:dyDescent="0.2">
      <c r="D1885" s="1"/>
    </row>
    <row r="1886" spans="4:4" x14ac:dyDescent="0.2">
      <c r="D1886" s="1"/>
    </row>
    <row r="1887" spans="4:4" x14ac:dyDescent="0.2">
      <c r="D1887" s="1"/>
    </row>
    <row r="1888" spans="4:4" x14ac:dyDescent="0.2">
      <c r="D1888" s="1"/>
    </row>
    <row r="1889" spans="4:4" x14ac:dyDescent="0.2">
      <c r="D1889" s="1"/>
    </row>
    <row r="1890" spans="4:4" x14ac:dyDescent="0.2">
      <c r="D1890" s="1"/>
    </row>
    <row r="1891" spans="4:4" x14ac:dyDescent="0.2">
      <c r="D1891" s="1"/>
    </row>
    <row r="1892" spans="4:4" x14ac:dyDescent="0.2">
      <c r="D1892" s="1"/>
    </row>
    <row r="1893" spans="4:4" x14ac:dyDescent="0.2">
      <c r="D1893" s="1"/>
    </row>
    <row r="1894" spans="4:4" x14ac:dyDescent="0.2">
      <c r="D1894" s="1"/>
    </row>
    <row r="1895" spans="4:4" x14ac:dyDescent="0.2">
      <c r="D1895" s="1"/>
    </row>
    <row r="1896" spans="4:4" x14ac:dyDescent="0.2">
      <c r="D1896" s="1"/>
    </row>
    <row r="1897" spans="4:4" x14ac:dyDescent="0.2">
      <c r="D1897" s="1"/>
    </row>
    <row r="1898" spans="4:4" x14ac:dyDescent="0.2">
      <c r="D1898" s="1"/>
    </row>
    <row r="1899" spans="4:4" x14ac:dyDescent="0.2">
      <c r="D1899" s="1"/>
    </row>
    <row r="1900" spans="4:4" x14ac:dyDescent="0.2">
      <c r="D1900" s="1"/>
    </row>
    <row r="1901" spans="4:4" x14ac:dyDescent="0.2">
      <c r="D1901" s="1"/>
    </row>
    <row r="1902" spans="4:4" x14ac:dyDescent="0.2">
      <c r="D1902" s="1"/>
    </row>
    <row r="1903" spans="4:4" x14ac:dyDescent="0.2">
      <c r="D1903" s="1"/>
    </row>
    <row r="1904" spans="4:4" x14ac:dyDescent="0.2">
      <c r="D1904" s="1"/>
    </row>
    <row r="1905" spans="4:4" x14ac:dyDescent="0.2">
      <c r="D1905" s="1"/>
    </row>
    <row r="1906" spans="4:4" x14ac:dyDescent="0.2">
      <c r="D1906" s="1"/>
    </row>
    <row r="1907" spans="4:4" x14ac:dyDescent="0.2">
      <c r="D1907" s="1"/>
    </row>
    <row r="1908" spans="4:4" x14ac:dyDescent="0.2">
      <c r="D1908" s="1"/>
    </row>
    <row r="1909" spans="4:4" x14ac:dyDescent="0.2">
      <c r="D1909" s="1"/>
    </row>
    <row r="1910" spans="4:4" x14ac:dyDescent="0.2">
      <c r="D1910" s="1"/>
    </row>
    <row r="1911" spans="4:4" x14ac:dyDescent="0.2">
      <c r="D1911" s="1"/>
    </row>
    <row r="1912" spans="4:4" x14ac:dyDescent="0.2">
      <c r="D1912" s="1"/>
    </row>
    <row r="1913" spans="4:4" x14ac:dyDescent="0.2">
      <c r="D1913" s="1"/>
    </row>
    <row r="1914" spans="4:4" x14ac:dyDescent="0.2">
      <c r="D1914" s="1"/>
    </row>
    <row r="1915" spans="4:4" x14ac:dyDescent="0.2">
      <c r="D1915" s="1"/>
    </row>
    <row r="1916" spans="4:4" x14ac:dyDescent="0.2">
      <c r="D1916" s="1"/>
    </row>
    <row r="1917" spans="4:4" x14ac:dyDescent="0.2">
      <c r="D1917" s="1"/>
    </row>
    <row r="1918" spans="4:4" x14ac:dyDescent="0.2">
      <c r="D1918" s="1"/>
    </row>
    <row r="1919" spans="4:4" x14ac:dyDescent="0.2">
      <c r="D1919" s="1"/>
    </row>
    <row r="1920" spans="4:4" x14ac:dyDescent="0.2">
      <c r="D1920" s="1"/>
    </row>
    <row r="1921" spans="4:4" x14ac:dyDescent="0.2">
      <c r="D1921" s="1"/>
    </row>
    <row r="1922" spans="4:4" x14ac:dyDescent="0.2">
      <c r="D1922" s="1"/>
    </row>
    <row r="1923" spans="4:4" x14ac:dyDescent="0.2">
      <c r="D1923" s="1"/>
    </row>
    <row r="1924" spans="4:4" x14ac:dyDescent="0.2">
      <c r="D1924" s="1"/>
    </row>
    <row r="1925" spans="4:4" x14ac:dyDescent="0.2">
      <c r="D1925" s="1"/>
    </row>
    <row r="1926" spans="4:4" x14ac:dyDescent="0.2">
      <c r="D1926" s="1"/>
    </row>
    <row r="1927" spans="4:4" x14ac:dyDescent="0.2">
      <c r="D1927" s="1"/>
    </row>
    <row r="1928" spans="4:4" x14ac:dyDescent="0.2">
      <c r="D1928" s="1"/>
    </row>
    <row r="1929" spans="4:4" x14ac:dyDescent="0.2">
      <c r="D1929" s="1"/>
    </row>
    <row r="1930" spans="4:4" x14ac:dyDescent="0.2">
      <c r="D1930" s="1"/>
    </row>
    <row r="1931" spans="4:4" x14ac:dyDescent="0.2">
      <c r="D1931" s="1"/>
    </row>
    <row r="1932" spans="4:4" x14ac:dyDescent="0.2">
      <c r="D1932" s="1"/>
    </row>
    <row r="1933" spans="4:4" x14ac:dyDescent="0.2">
      <c r="D1933" s="1"/>
    </row>
    <row r="1934" spans="4:4" x14ac:dyDescent="0.2">
      <c r="D1934" s="1"/>
    </row>
    <row r="1935" spans="4:4" x14ac:dyDescent="0.2">
      <c r="D1935" s="1"/>
    </row>
    <row r="1936" spans="4:4" x14ac:dyDescent="0.2">
      <c r="D1936" s="1"/>
    </row>
    <row r="1937" spans="4:4" x14ac:dyDescent="0.2">
      <c r="D1937" s="1"/>
    </row>
    <row r="1938" spans="4:4" x14ac:dyDescent="0.2">
      <c r="D1938" s="1"/>
    </row>
    <row r="1939" spans="4:4" x14ac:dyDescent="0.2">
      <c r="D1939" s="1"/>
    </row>
    <row r="1940" spans="4:4" x14ac:dyDescent="0.2">
      <c r="D1940" s="1"/>
    </row>
    <row r="1941" spans="4:4" x14ac:dyDescent="0.2">
      <c r="D1941" s="1"/>
    </row>
    <row r="1942" spans="4:4" x14ac:dyDescent="0.2">
      <c r="D1942" s="1"/>
    </row>
    <row r="1943" spans="4:4" x14ac:dyDescent="0.2">
      <c r="D1943" s="1"/>
    </row>
    <row r="1944" spans="4:4" x14ac:dyDescent="0.2">
      <c r="D1944" s="1"/>
    </row>
    <row r="1945" spans="4:4" x14ac:dyDescent="0.2">
      <c r="D1945" s="1"/>
    </row>
    <row r="1946" spans="4:4" x14ac:dyDescent="0.2">
      <c r="D1946" s="1"/>
    </row>
    <row r="1947" spans="4:4" x14ac:dyDescent="0.2">
      <c r="D1947" s="1"/>
    </row>
    <row r="1948" spans="4:4" x14ac:dyDescent="0.2">
      <c r="D1948" s="1"/>
    </row>
    <row r="1949" spans="4:4" x14ac:dyDescent="0.2">
      <c r="D1949" s="1"/>
    </row>
    <row r="1950" spans="4:4" x14ac:dyDescent="0.2">
      <c r="D1950" s="1"/>
    </row>
    <row r="1951" spans="4:4" x14ac:dyDescent="0.2">
      <c r="D1951" s="1"/>
    </row>
    <row r="1952" spans="4:4" x14ac:dyDescent="0.2">
      <c r="D1952" s="1"/>
    </row>
    <row r="1953" spans="4:4" x14ac:dyDescent="0.2">
      <c r="D1953" s="1"/>
    </row>
    <row r="1954" spans="4:4" x14ac:dyDescent="0.2">
      <c r="D1954" s="1"/>
    </row>
    <row r="1955" spans="4:4" x14ac:dyDescent="0.2">
      <c r="D1955" s="1"/>
    </row>
    <row r="1956" spans="4:4" x14ac:dyDescent="0.2">
      <c r="D1956" s="1"/>
    </row>
    <row r="1957" spans="4:4" x14ac:dyDescent="0.2">
      <c r="D1957" s="1"/>
    </row>
    <row r="1958" spans="4:4" x14ac:dyDescent="0.2">
      <c r="D1958" s="1"/>
    </row>
    <row r="1959" spans="4:4" x14ac:dyDescent="0.2">
      <c r="D1959" s="1"/>
    </row>
    <row r="1960" spans="4:4" x14ac:dyDescent="0.2">
      <c r="D1960" s="1"/>
    </row>
    <row r="1961" spans="4:4" x14ac:dyDescent="0.2">
      <c r="D1961" s="1"/>
    </row>
    <row r="1962" spans="4:4" x14ac:dyDescent="0.2">
      <c r="D1962" s="1"/>
    </row>
    <row r="1963" spans="4:4" x14ac:dyDescent="0.2">
      <c r="D1963" s="1"/>
    </row>
    <row r="1964" spans="4:4" x14ac:dyDescent="0.2">
      <c r="D1964" s="1"/>
    </row>
    <row r="1965" spans="4:4" x14ac:dyDescent="0.2">
      <c r="D1965" s="1"/>
    </row>
    <row r="1966" spans="4:4" x14ac:dyDescent="0.2">
      <c r="D1966" s="1"/>
    </row>
    <row r="1967" spans="4:4" x14ac:dyDescent="0.2">
      <c r="D1967" s="1"/>
    </row>
    <row r="1968" spans="4:4" x14ac:dyDescent="0.2">
      <c r="D1968" s="1"/>
    </row>
    <row r="1969" spans="4:4" x14ac:dyDescent="0.2">
      <c r="D1969" s="1"/>
    </row>
    <row r="1970" spans="4:4" x14ac:dyDescent="0.2">
      <c r="D1970" s="1"/>
    </row>
    <row r="1971" spans="4:4" x14ac:dyDescent="0.2">
      <c r="D1971" s="1"/>
    </row>
    <row r="1972" spans="4:4" x14ac:dyDescent="0.2">
      <c r="D1972" s="1"/>
    </row>
    <row r="1973" spans="4:4" x14ac:dyDescent="0.2">
      <c r="D1973" s="1"/>
    </row>
    <row r="1974" spans="4:4" x14ac:dyDescent="0.2">
      <c r="D1974" s="1"/>
    </row>
    <row r="1975" spans="4:4" x14ac:dyDescent="0.2">
      <c r="D1975" s="1"/>
    </row>
    <row r="1976" spans="4:4" x14ac:dyDescent="0.2">
      <c r="D1976" s="1"/>
    </row>
    <row r="1977" spans="4:4" x14ac:dyDescent="0.2">
      <c r="D1977" s="1"/>
    </row>
    <row r="1978" spans="4:4" x14ac:dyDescent="0.2">
      <c r="D1978" s="1"/>
    </row>
    <row r="1979" spans="4:4" x14ac:dyDescent="0.2">
      <c r="D1979" s="1"/>
    </row>
    <row r="1980" spans="4:4" x14ac:dyDescent="0.2">
      <c r="D1980" s="1"/>
    </row>
    <row r="1981" spans="4:4" x14ac:dyDescent="0.2">
      <c r="D1981" s="1"/>
    </row>
    <row r="1982" spans="4:4" x14ac:dyDescent="0.2">
      <c r="D1982" s="1"/>
    </row>
    <row r="1983" spans="4:4" x14ac:dyDescent="0.2">
      <c r="D1983" s="1"/>
    </row>
    <row r="1984" spans="4:4" x14ac:dyDescent="0.2">
      <c r="D1984" s="1"/>
    </row>
    <row r="1985" spans="4:4" x14ac:dyDescent="0.2">
      <c r="D1985" s="1"/>
    </row>
    <row r="1986" spans="4:4" x14ac:dyDescent="0.2">
      <c r="D1986" s="1"/>
    </row>
    <row r="1987" spans="4:4" x14ac:dyDescent="0.2">
      <c r="D1987" s="1"/>
    </row>
    <row r="1988" spans="4:4" x14ac:dyDescent="0.2">
      <c r="D1988" s="1"/>
    </row>
    <row r="1989" spans="4:4" x14ac:dyDescent="0.2">
      <c r="D1989" s="1"/>
    </row>
    <row r="1990" spans="4:4" x14ac:dyDescent="0.2">
      <c r="D1990" s="1"/>
    </row>
    <row r="1991" spans="4:4" x14ac:dyDescent="0.2">
      <c r="D1991" s="1"/>
    </row>
    <row r="1992" spans="4:4" x14ac:dyDescent="0.2">
      <c r="D1992" s="1"/>
    </row>
    <row r="1993" spans="4:4" x14ac:dyDescent="0.2">
      <c r="D1993" s="1"/>
    </row>
    <row r="1994" spans="4:4" x14ac:dyDescent="0.2">
      <c r="D1994" s="1"/>
    </row>
    <row r="1995" spans="4:4" x14ac:dyDescent="0.2">
      <c r="D1995" s="1"/>
    </row>
    <row r="1996" spans="4:4" x14ac:dyDescent="0.2">
      <c r="D1996" s="1"/>
    </row>
    <row r="1997" spans="4:4" x14ac:dyDescent="0.2">
      <c r="D1997" s="1"/>
    </row>
    <row r="1998" spans="4:4" x14ac:dyDescent="0.2">
      <c r="D1998" s="1"/>
    </row>
    <row r="1999" spans="4:4" x14ac:dyDescent="0.2">
      <c r="D1999" s="1"/>
    </row>
    <row r="2000" spans="4:4" x14ac:dyDescent="0.2">
      <c r="D2000" s="1"/>
    </row>
    <row r="2001" spans="4:4" x14ac:dyDescent="0.2">
      <c r="D2001" s="1"/>
    </row>
    <row r="2002" spans="4:4" x14ac:dyDescent="0.2">
      <c r="D2002" s="1"/>
    </row>
    <row r="2003" spans="4:4" x14ac:dyDescent="0.2">
      <c r="D2003" s="1"/>
    </row>
    <row r="2004" spans="4:4" x14ac:dyDescent="0.2">
      <c r="D2004" s="1"/>
    </row>
    <row r="2005" spans="4:4" x14ac:dyDescent="0.2">
      <c r="D2005" s="1"/>
    </row>
    <row r="2006" spans="4:4" x14ac:dyDescent="0.2">
      <c r="D2006" s="1"/>
    </row>
    <row r="2007" spans="4:4" x14ac:dyDescent="0.2">
      <c r="D2007" s="1"/>
    </row>
    <row r="2008" spans="4:4" x14ac:dyDescent="0.2">
      <c r="D2008" s="1"/>
    </row>
    <row r="2009" spans="4:4" x14ac:dyDescent="0.2">
      <c r="D2009" s="1"/>
    </row>
    <row r="2010" spans="4:4" x14ac:dyDescent="0.2">
      <c r="D2010" s="1"/>
    </row>
    <row r="2011" spans="4:4" x14ac:dyDescent="0.2">
      <c r="D2011" s="1"/>
    </row>
    <row r="2012" spans="4:4" x14ac:dyDescent="0.2">
      <c r="D2012" s="1"/>
    </row>
    <row r="2013" spans="4:4" x14ac:dyDescent="0.2">
      <c r="D2013" s="1"/>
    </row>
    <row r="2014" spans="4:4" x14ac:dyDescent="0.2">
      <c r="D2014" s="1"/>
    </row>
    <row r="2015" spans="4:4" x14ac:dyDescent="0.2">
      <c r="D2015" s="1"/>
    </row>
    <row r="2016" spans="4:4" x14ac:dyDescent="0.2">
      <c r="D2016" s="1"/>
    </row>
    <row r="2017" spans="4:4" x14ac:dyDescent="0.2">
      <c r="D2017" s="1"/>
    </row>
    <row r="2018" spans="4:4" x14ac:dyDescent="0.2">
      <c r="D2018" s="1"/>
    </row>
    <row r="2019" spans="4:4" x14ac:dyDescent="0.2">
      <c r="D2019" s="1"/>
    </row>
    <row r="2020" spans="4:4" x14ac:dyDescent="0.2">
      <c r="D2020" s="1"/>
    </row>
    <row r="2021" spans="4:4" x14ac:dyDescent="0.2">
      <c r="D2021" s="1"/>
    </row>
    <row r="2022" spans="4:4" x14ac:dyDescent="0.2">
      <c r="D2022" s="1"/>
    </row>
    <row r="2023" spans="4:4" x14ac:dyDescent="0.2">
      <c r="D2023" s="1"/>
    </row>
    <row r="2024" spans="4:4" x14ac:dyDescent="0.2">
      <c r="D2024" s="1"/>
    </row>
    <row r="2025" spans="4:4" x14ac:dyDescent="0.2">
      <c r="D2025" s="1"/>
    </row>
    <row r="2026" spans="4:4" x14ac:dyDescent="0.2">
      <c r="D2026" s="1"/>
    </row>
    <row r="2027" spans="4:4" x14ac:dyDescent="0.2">
      <c r="D2027" s="1"/>
    </row>
    <row r="2028" spans="4:4" x14ac:dyDescent="0.2">
      <c r="D2028" s="1"/>
    </row>
    <row r="2029" spans="4:4" x14ac:dyDescent="0.2">
      <c r="D2029" s="1"/>
    </row>
    <row r="2030" spans="4:4" x14ac:dyDescent="0.2">
      <c r="D2030" s="1"/>
    </row>
    <row r="2031" spans="4:4" x14ac:dyDescent="0.2">
      <c r="D2031" s="1"/>
    </row>
    <row r="2032" spans="4:4" x14ac:dyDescent="0.2">
      <c r="D2032" s="1"/>
    </row>
    <row r="2033" spans="4:4" x14ac:dyDescent="0.2">
      <c r="D2033" s="1"/>
    </row>
    <row r="2034" spans="4:4" x14ac:dyDescent="0.2">
      <c r="D2034" s="1"/>
    </row>
    <row r="2035" spans="4:4" x14ac:dyDescent="0.2">
      <c r="D2035" s="1"/>
    </row>
    <row r="2036" spans="4:4" x14ac:dyDescent="0.2">
      <c r="D2036" s="1"/>
    </row>
    <row r="2037" spans="4:4" x14ac:dyDescent="0.2">
      <c r="D2037" s="1"/>
    </row>
    <row r="2038" spans="4:4" x14ac:dyDescent="0.2">
      <c r="D2038" s="1"/>
    </row>
    <row r="2039" spans="4:4" x14ac:dyDescent="0.2">
      <c r="D2039" s="1"/>
    </row>
    <row r="2040" spans="4:4" x14ac:dyDescent="0.2">
      <c r="D2040" s="1"/>
    </row>
    <row r="2041" spans="4:4" x14ac:dyDescent="0.2">
      <c r="D2041" s="1"/>
    </row>
    <row r="2042" spans="4:4" x14ac:dyDescent="0.2">
      <c r="D2042" s="1"/>
    </row>
    <row r="2043" spans="4:4" x14ac:dyDescent="0.2">
      <c r="D2043" s="1"/>
    </row>
    <row r="2044" spans="4:4" x14ac:dyDescent="0.2">
      <c r="D2044" s="1"/>
    </row>
    <row r="2045" spans="4:4" x14ac:dyDescent="0.2">
      <c r="D2045" s="1"/>
    </row>
    <row r="2046" spans="4:4" x14ac:dyDescent="0.2">
      <c r="D2046" s="1"/>
    </row>
    <row r="2047" spans="4:4" x14ac:dyDescent="0.2">
      <c r="D2047" s="1"/>
    </row>
    <row r="2048" spans="4:4" x14ac:dyDescent="0.2">
      <c r="D2048" s="1"/>
    </row>
    <row r="2049" spans="4:4" x14ac:dyDescent="0.2">
      <c r="D2049" s="1"/>
    </row>
    <row r="2050" spans="4:4" x14ac:dyDescent="0.2">
      <c r="D2050" s="1"/>
    </row>
    <row r="2051" spans="4:4" x14ac:dyDescent="0.2">
      <c r="D2051" s="1"/>
    </row>
    <row r="2052" spans="4:4" x14ac:dyDescent="0.2">
      <c r="D2052" s="1"/>
    </row>
    <row r="2053" spans="4:4" x14ac:dyDescent="0.2">
      <c r="D2053" s="1"/>
    </row>
    <row r="2054" spans="4:4" x14ac:dyDescent="0.2">
      <c r="D2054" s="1"/>
    </row>
    <row r="2055" spans="4:4" x14ac:dyDescent="0.2">
      <c r="D2055" s="1"/>
    </row>
    <row r="2056" spans="4:4" x14ac:dyDescent="0.2">
      <c r="D2056" s="1"/>
    </row>
    <row r="2057" spans="4:4" x14ac:dyDescent="0.2">
      <c r="D2057" s="1"/>
    </row>
    <row r="2058" spans="4:4" x14ac:dyDescent="0.2">
      <c r="D2058" s="1"/>
    </row>
    <row r="2059" spans="4:4" x14ac:dyDescent="0.2">
      <c r="D2059" s="1"/>
    </row>
    <row r="2060" spans="4:4" x14ac:dyDescent="0.2">
      <c r="D2060" s="1"/>
    </row>
    <row r="2061" spans="4:4" x14ac:dyDescent="0.2">
      <c r="D2061" s="1"/>
    </row>
    <row r="2062" spans="4:4" x14ac:dyDescent="0.2">
      <c r="D2062" s="1"/>
    </row>
    <row r="2063" spans="4:4" x14ac:dyDescent="0.2">
      <c r="D2063" s="1"/>
    </row>
    <row r="2064" spans="4:4" x14ac:dyDescent="0.2">
      <c r="D2064" s="1"/>
    </row>
    <row r="2065" spans="4:4" x14ac:dyDescent="0.2">
      <c r="D2065" s="1"/>
    </row>
    <row r="2066" spans="4:4" x14ac:dyDescent="0.2">
      <c r="D2066" s="1"/>
    </row>
    <row r="2067" spans="4:4" x14ac:dyDescent="0.2">
      <c r="D2067" s="1"/>
    </row>
    <row r="2068" spans="4:4" x14ac:dyDescent="0.2">
      <c r="D2068" s="1"/>
    </row>
    <row r="2069" spans="4:4" x14ac:dyDescent="0.2">
      <c r="D2069" s="1"/>
    </row>
    <row r="2070" spans="4:4" x14ac:dyDescent="0.2">
      <c r="D2070" s="1"/>
    </row>
    <row r="2071" spans="4:4" x14ac:dyDescent="0.2">
      <c r="D2071" s="1"/>
    </row>
    <row r="2072" spans="4:4" x14ac:dyDescent="0.2">
      <c r="D2072" s="1"/>
    </row>
    <row r="2073" spans="4:4" x14ac:dyDescent="0.2">
      <c r="D2073" s="1"/>
    </row>
    <row r="2074" spans="4:4" x14ac:dyDescent="0.2">
      <c r="D2074" s="1"/>
    </row>
    <row r="2075" spans="4:4" x14ac:dyDescent="0.2">
      <c r="D2075" s="1"/>
    </row>
    <row r="2076" spans="4:4" x14ac:dyDescent="0.2">
      <c r="D2076" s="1"/>
    </row>
    <row r="2077" spans="4:4" x14ac:dyDescent="0.2">
      <c r="D2077" s="1"/>
    </row>
    <row r="2078" spans="4:4" x14ac:dyDescent="0.2">
      <c r="D2078" s="1"/>
    </row>
    <row r="2079" spans="4:4" x14ac:dyDescent="0.2">
      <c r="D2079" s="1"/>
    </row>
    <row r="2080" spans="4:4" x14ac:dyDescent="0.2">
      <c r="D2080" s="1"/>
    </row>
    <row r="2081" spans="4:4" x14ac:dyDescent="0.2">
      <c r="D2081" s="1"/>
    </row>
    <row r="2082" spans="4:4" x14ac:dyDescent="0.2">
      <c r="D2082" s="1"/>
    </row>
    <row r="2083" spans="4:4" x14ac:dyDescent="0.2">
      <c r="D2083" s="1"/>
    </row>
    <row r="2084" spans="4:4" x14ac:dyDescent="0.2">
      <c r="D2084" s="1"/>
    </row>
    <row r="2085" spans="4:4" x14ac:dyDescent="0.2">
      <c r="D2085" s="1"/>
    </row>
    <row r="2086" spans="4:4" x14ac:dyDescent="0.2">
      <c r="D2086" s="1"/>
    </row>
    <row r="2087" spans="4:4" x14ac:dyDescent="0.2">
      <c r="D2087" s="1"/>
    </row>
    <row r="2088" spans="4:4" x14ac:dyDescent="0.2">
      <c r="D2088" s="1"/>
    </row>
    <row r="2089" spans="4:4" x14ac:dyDescent="0.2">
      <c r="D2089" s="1"/>
    </row>
    <row r="2090" spans="4:4" x14ac:dyDescent="0.2">
      <c r="D2090" s="1"/>
    </row>
    <row r="2091" spans="4:4" x14ac:dyDescent="0.2">
      <c r="D2091" s="1"/>
    </row>
    <row r="2092" spans="4:4" x14ac:dyDescent="0.2">
      <c r="D2092" s="1"/>
    </row>
    <row r="2093" spans="4:4" x14ac:dyDescent="0.2">
      <c r="D2093" s="1"/>
    </row>
    <row r="2094" spans="4:4" x14ac:dyDescent="0.2">
      <c r="D2094" s="1"/>
    </row>
    <row r="2095" spans="4:4" x14ac:dyDescent="0.2">
      <c r="D2095" s="1"/>
    </row>
    <row r="2096" spans="4:4" x14ac:dyDescent="0.2">
      <c r="D2096" s="1"/>
    </row>
    <row r="2097" spans="4:4" x14ac:dyDescent="0.2">
      <c r="D2097" s="1"/>
    </row>
    <row r="2098" spans="4:4" x14ac:dyDescent="0.2">
      <c r="D2098" s="1"/>
    </row>
    <row r="2099" spans="4:4" x14ac:dyDescent="0.2">
      <c r="D2099" s="1"/>
    </row>
    <row r="2100" spans="4:4" x14ac:dyDescent="0.2">
      <c r="D2100" s="1"/>
    </row>
    <row r="2101" spans="4:4" x14ac:dyDescent="0.2">
      <c r="D2101" s="1"/>
    </row>
    <row r="2102" spans="4:4" x14ac:dyDescent="0.2">
      <c r="D2102" s="1"/>
    </row>
    <row r="2103" spans="4:4" x14ac:dyDescent="0.2">
      <c r="D2103" s="1"/>
    </row>
    <row r="2104" spans="4:4" x14ac:dyDescent="0.2">
      <c r="D2104" s="1"/>
    </row>
    <row r="2105" spans="4:4" x14ac:dyDescent="0.2">
      <c r="D2105" s="1"/>
    </row>
    <row r="2106" spans="4:4" x14ac:dyDescent="0.2">
      <c r="D2106" s="1"/>
    </row>
    <row r="2107" spans="4:4" x14ac:dyDescent="0.2">
      <c r="D2107" s="1"/>
    </row>
    <row r="2108" spans="4:4" x14ac:dyDescent="0.2">
      <c r="D2108" s="1"/>
    </row>
    <row r="2109" spans="4:4" x14ac:dyDescent="0.2">
      <c r="D2109" s="1"/>
    </row>
    <row r="2110" spans="4:4" x14ac:dyDescent="0.2">
      <c r="D2110" s="1"/>
    </row>
    <row r="2111" spans="4:4" x14ac:dyDescent="0.2">
      <c r="D2111" s="1"/>
    </row>
    <row r="2112" spans="4:4" x14ac:dyDescent="0.2">
      <c r="D2112" s="1"/>
    </row>
    <row r="2113" spans="4:4" x14ac:dyDescent="0.2">
      <c r="D2113" s="1"/>
    </row>
    <row r="2114" spans="4:4" x14ac:dyDescent="0.2">
      <c r="D2114" s="1"/>
    </row>
    <row r="2115" spans="4:4" x14ac:dyDescent="0.2">
      <c r="D2115" s="1"/>
    </row>
    <row r="2116" spans="4:4" x14ac:dyDescent="0.2">
      <c r="D2116" s="1"/>
    </row>
    <row r="2117" spans="4:4" x14ac:dyDescent="0.2">
      <c r="D2117" s="1"/>
    </row>
    <row r="2118" spans="4:4" x14ac:dyDescent="0.2">
      <c r="D2118" s="1"/>
    </row>
    <row r="2119" spans="4:4" x14ac:dyDescent="0.2">
      <c r="D2119" s="1"/>
    </row>
    <row r="2120" spans="4:4" x14ac:dyDescent="0.2">
      <c r="D2120" s="1"/>
    </row>
    <row r="2121" spans="4:4" x14ac:dyDescent="0.2">
      <c r="D2121" s="1"/>
    </row>
    <row r="2122" spans="4:4" x14ac:dyDescent="0.2">
      <c r="D2122" s="1"/>
    </row>
    <row r="2123" spans="4:4" x14ac:dyDescent="0.2">
      <c r="D2123" s="1"/>
    </row>
    <row r="2124" spans="4:4" x14ac:dyDescent="0.2">
      <c r="D2124" s="1"/>
    </row>
    <row r="2125" spans="4:4" x14ac:dyDescent="0.2">
      <c r="D2125" s="1"/>
    </row>
    <row r="2126" spans="4:4" x14ac:dyDescent="0.2">
      <c r="D2126" s="1"/>
    </row>
    <row r="2127" spans="4:4" x14ac:dyDescent="0.2">
      <c r="D2127" s="1"/>
    </row>
    <row r="2128" spans="4:4" x14ac:dyDescent="0.2">
      <c r="D2128" s="1"/>
    </row>
    <row r="2129" spans="4:4" x14ac:dyDescent="0.2">
      <c r="D2129" s="1"/>
    </row>
    <row r="2130" spans="4:4" x14ac:dyDescent="0.2">
      <c r="D2130" s="1"/>
    </row>
    <row r="2131" spans="4:4" x14ac:dyDescent="0.2">
      <c r="D2131" s="1"/>
    </row>
    <row r="2132" spans="4:4" x14ac:dyDescent="0.2">
      <c r="D2132" s="1"/>
    </row>
    <row r="2133" spans="4:4" x14ac:dyDescent="0.2">
      <c r="D2133" s="1"/>
    </row>
    <row r="2134" spans="4:4" x14ac:dyDescent="0.2">
      <c r="D2134" s="1"/>
    </row>
    <row r="2135" spans="4:4" x14ac:dyDescent="0.2">
      <c r="D2135" s="1"/>
    </row>
    <row r="2136" spans="4:4" x14ac:dyDescent="0.2">
      <c r="D2136" s="1"/>
    </row>
  </sheetData>
  <sheetCalcPr fullCalcOnLoad="1"/>
  <phoneticPr fontId="1" type="noConversion"/>
  <hyperlinks>
    <hyperlink ref="C1" r:id="rId1"/>
  </hyperlinks>
  <pageMargins left="0.75" right="0.75" top="1" bottom="1" header="0.5" footer="0.5"/>
  <pageSetup orientation="portrait" r:id="rId2"/>
  <headerFooter alignWithMargins="0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ReadMe</vt:lpstr>
      <vt:lpstr>Volatility</vt:lpstr>
    </vt:vector>
  </TitlesOfParts>
  <Company>http://www.OptionTradingTips.com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McPhee</dc:creator>
  <cp:lastModifiedBy>Vishal</cp:lastModifiedBy>
  <dcterms:created xsi:type="dcterms:W3CDTF">2006-03-23T23:14:50Z</dcterms:created>
  <dcterms:modified xsi:type="dcterms:W3CDTF">2012-12-04T19:40:40Z</dcterms:modified>
</cp:coreProperties>
</file>